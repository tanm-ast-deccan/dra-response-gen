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y Data" sheetId="1" r:id="rId5"/>
    <sheet state="visible" name="Annual Summary" sheetId="2" r:id="rId6"/>
  </sheets>
  <definedNames/>
  <calcPr/>
</workbook>
</file>

<file path=xl/sharedStrings.xml><?xml version="1.0" encoding="utf-8"?>
<sst xmlns="http://schemas.openxmlformats.org/spreadsheetml/2006/main" count="62" uniqueCount="52">
  <si>
    <t>Month</t>
  </si>
  <si>
    <t>Units Produced</t>
  </si>
  <si>
    <t>Trial Units</t>
  </si>
  <si>
    <t>Quality Rejects</t>
  </si>
  <si>
    <t>Export Ready Units</t>
  </si>
  <si>
    <t>Domestic Contract Units</t>
  </si>
  <si>
    <t>Machine Downtime Hours</t>
  </si>
  <si>
    <t>Scrap Weight (kg)</t>
  </si>
  <si>
    <t>Total Units</t>
  </si>
  <si>
    <t>Electricity Cost (INR)</t>
  </si>
  <si>
    <t>Water Usage (L)</t>
  </si>
  <si>
    <t>Packaging Waste (kg)</t>
  </si>
  <si>
    <t>Temperature (°C)</t>
  </si>
  <si>
    <t>Humidity (%)</t>
  </si>
  <si>
    <t>Noise Level (dB)</t>
  </si>
  <si>
    <t>Operator Count</t>
  </si>
  <si>
    <t>Safety Incidents</t>
  </si>
  <si>
    <t>Maintenance Flag</t>
  </si>
  <si>
    <t>Jan</t>
  </si>
  <si>
    <t>Y</t>
  </si>
  <si>
    <t>Feb</t>
  </si>
  <si>
    <t>Mar</t>
  </si>
  <si>
    <t>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</si>
  <si>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</si>
  <si>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</si>
  <si>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</si>
  <si>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</si>
  <si>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</si>
  <si>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</si>
  <si>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</si>
  <si>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</si>
  <si>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</si>
  <si>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Summary &amp; Key Assumptions</t>
  </si>
  <si>
    <t>Metric</t>
  </si>
  <si>
    <t>Value (Units)</t>
  </si>
  <si>
    <t>Notes</t>
  </si>
  <si>
    <t>Total Annual Units Produced</t>
  </si>
  <si>
    <t>Sum of monthly Units Produced</t>
  </si>
  <si>
    <t>Total Trial Units</t>
  </si>
  <si>
    <t>Exclude from production count</t>
  </si>
  <si>
    <t>Total Quality Rejects</t>
  </si>
  <si>
    <t>Defective output — exclude</t>
  </si>
  <si>
    <t>Total Export Ready Units</t>
  </si>
  <si>
    <t>Verified output eligible for export</t>
  </si>
  <si>
    <t>Total Domestic Contract Units</t>
  </si>
  <si>
    <t>Contractually committed to domestic clients</t>
  </si>
  <si>
    <t>Net Export Capacity (Units)</t>
  </si>
  <si>
    <t>Export Ready Units minus Domestic Contract Units</t>
  </si>
  <si>
    <t>FX Rate (INR per EUR)</t>
  </si>
  <si>
    <t>Source: Internal Assumption — use for EUR conversion</t>
  </si>
  <si>
    <t>Export ASP Markup (%)</t>
  </si>
  <si>
    <t>15% export markup over domestic ASP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</si>
</sst>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i/>
      <sz val="10.0"/>
      <color rgb="FF000000"/>
      <name val="Arial"/>
    </font>
    <font>
      <sz val="11.0"/>
      <color theme="1"/>
      <name val="Calibri"/>
    </font>
    <font>
      <b/>
      <sz val="13.0"/>
      <color rgb="FF000000"/>
      <name val="Arial"/>
    </font>
    <font/>
    <font>
      <b/>
      <sz val="10.0"/>
      <color rgb="FFC00000"/>
      <name val="Arial"/>
    </font>
    <font>
      <i/>
      <sz val="10.0"/>
      <color rgb="FF595959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11.0"/>
    <col customWidth="1" min="4" max="4" width="14.0"/>
    <col customWidth="1" min="5" max="5" width="17.0"/>
    <col customWidth="1" min="6" max="7" width="20.0"/>
    <col customWidth="1" min="8" max="8" width="15.0"/>
    <col customWidth="1" min="9" max="9" width="12.0"/>
    <col customWidth="1" min="10" max="10" width="20.0"/>
    <col customWidth="1" min="11" max="11" width="16.0"/>
    <col customWidth="1" min="12" max="12" width="20.0"/>
    <col customWidth="1" min="13" max="13" width="15.0"/>
    <col customWidth="1" min="14" max="14" width="14.0"/>
    <col customWidth="1" min="15" max="15" width="16.0"/>
    <col customWidth="1" min="16" max="16" width="14.0"/>
    <col customWidth="1" min="17" max="17" width="17.0"/>
    <col customWidth="1" min="18" max="18" width="16.0"/>
    <col customWidth="1" min="19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0" customHeight="1">
      <c r="A2" s="2" t="s">
        <v>18</v>
      </c>
      <c r="B2" s="2">
        <v>62000.0</v>
      </c>
      <c r="C2" s="2">
        <v>2000.0</v>
      </c>
      <c r="D2" s="2">
        <v>1500.0</v>
      </c>
      <c r="E2" s="2">
        <v>58500.0</v>
      </c>
      <c r="F2" s="2">
        <v>30000.0</v>
      </c>
      <c r="G2" s="2">
        <v>7.0</v>
      </c>
      <c r="H2" s="2">
        <v>25.0</v>
      </c>
      <c r="I2" s="2">
        <v>64000.0</v>
      </c>
      <c r="J2" s="3">
        <v>47200.0</v>
      </c>
      <c r="K2" s="3">
        <v>12100.0</v>
      </c>
      <c r="L2" s="3">
        <v>1210.0</v>
      </c>
      <c r="M2" s="3">
        <v>29.0</v>
      </c>
      <c r="N2" s="3">
        <v>61.0</v>
      </c>
      <c r="O2" s="3">
        <v>72.0</v>
      </c>
      <c r="P2" s="3">
        <v>18.0</v>
      </c>
      <c r="Q2" s="3">
        <v>0.0</v>
      </c>
      <c r="R2" s="3" t="s">
        <v>19</v>
      </c>
    </row>
    <row r="3" ht="15.0" customHeight="1">
      <c r="A3" s="2" t="s">
        <v>20</v>
      </c>
      <c r="B3" s="2">
        <v>64000.0</v>
      </c>
      <c r="C3" s="2">
        <v>1800.0</v>
      </c>
      <c r="D3" s="2">
        <v>1600.0</v>
      </c>
      <c r="E3" s="2">
        <v>60600.0</v>
      </c>
      <c r="F3" s="2">
        <v>30000.0</v>
      </c>
      <c r="G3" s="2">
        <v>6.0</v>
      </c>
      <c r="H3" s="2">
        <v>50.0</v>
      </c>
      <c r="I3" s="2">
        <v>65800.0</v>
      </c>
      <c r="J3" s="3">
        <v>47800.0</v>
      </c>
      <c r="K3" s="3">
        <v>12200.0</v>
      </c>
      <c r="L3" s="3">
        <v>1220.0</v>
      </c>
      <c r="M3" s="3">
        <v>28.0</v>
      </c>
      <c r="N3" s="3">
        <v>60.0</v>
      </c>
      <c r="O3" s="3">
        <v>71.0</v>
      </c>
      <c r="P3" s="3">
        <v>18.0</v>
      </c>
      <c r="Q3" s="3">
        <v>0.0</v>
      </c>
      <c r="R3" s="3" t="s">
        <v>19</v>
      </c>
    </row>
    <row r="4" ht="15.0" customHeight="1">
      <c r="A4" s="2" t="s">
        <v>21</v>
      </c>
      <c r="B4" s="2">
        <v>66000.0</v>
      </c>
      <c r="C4" s="2">
        <v>2200.0</v>
      </c>
      <c r="D4" s="2">
        <v>1700.0</v>
      </c>
      <c r="E4" s="2">
        <v>62100.0</v>
      </c>
      <c r="F4" s="2">
        <v>30000.0</v>
      </c>
      <c r="G4" s="2">
        <v>7.0</v>
      </c>
      <c r="H4" s="2">
        <v>0.0</v>
      </c>
      <c r="I4" s="2">
        <v>68200.0</v>
      </c>
      <c r="J4" s="3">
        <v>48100.0</v>
      </c>
      <c r="K4" s="3">
        <v>12300.0</v>
      </c>
      <c r="L4" s="3">
        <v>1230.0</v>
      </c>
      <c r="M4" s="3">
        <v>29.0</v>
      </c>
      <c r="N4" s="3">
        <v>62.0</v>
      </c>
      <c r="O4" s="3">
        <v>72.0</v>
      </c>
      <c r="P4" s="3">
        <v>19.0</v>
      </c>
      <c r="Q4" s="3">
        <v>0.0</v>
      </c>
      <c r="R4" s="3" t="s">
        <v>22</v>
      </c>
    </row>
    <row r="5" ht="15.0" customHeight="1">
      <c r="A5" s="2" t="s">
        <v>23</v>
      </c>
      <c r="B5" s="2">
        <v>65000.0</v>
      </c>
      <c r="C5" s="2">
        <v>2000.0</v>
      </c>
      <c r="D5" s="2">
        <v>1600.0</v>
      </c>
      <c r="E5" s="2">
        <v>61400.0</v>
      </c>
      <c r="F5" s="2">
        <v>30000.0</v>
      </c>
      <c r="G5" s="2">
        <v>6.0</v>
      </c>
      <c r="H5" s="2">
        <v>95.0</v>
      </c>
      <c r="I5" s="2">
        <v>67000.0</v>
      </c>
      <c r="J5" s="3">
        <v>47900.0</v>
      </c>
      <c r="K5" s="3">
        <v>12100.0</v>
      </c>
      <c r="L5" s="3">
        <v>1215.0</v>
      </c>
      <c r="M5" s="3">
        <v>29.0</v>
      </c>
      <c r="N5" s="3">
        <v>61.0</v>
      </c>
      <c r="O5" s="3">
        <v>71.0</v>
      </c>
      <c r="P5" s="3">
        <v>18.0</v>
      </c>
      <c r="Q5" s="3">
        <v>0.0</v>
      </c>
      <c r="R5" s="3" t="s">
        <v>19</v>
      </c>
    </row>
    <row r="6" ht="15.0" customHeight="1">
      <c r="A6" s="2" t="s">
        <v>24</v>
      </c>
      <c r="B6" s="2">
        <v>67000.0</v>
      </c>
      <c r="C6" s="2">
        <v>2100.0</v>
      </c>
      <c r="D6" s="2">
        <v>1800.0</v>
      </c>
      <c r="E6" s="2">
        <v>63100.0</v>
      </c>
      <c r="F6" s="2">
        <v>30000.0</v>
      </c>
      <c r="G6" s="2">
        <v>6.0</v>
      </c>
      <c r="H6" s="2">
        <v>80.0</v>
      </c>
      <c r="I6" s="2">
        <v>69100.0</v>
      </c>
      <c r="J6" s="3">
        <v>48200.0</v>
      </c>
      <c r="K6" s="3">
        <v>12250.0</v>
      </c>
      <c r="L6" s="3">
        <v>1225.0</v>
      </c>
      <c r="M6" s="3">
        <v>30.0</v>
      </c>
      <c r="N6" s="3">
        <v>62.0</v>
      </c>
      <c r="O6" s="3">
        <v>73.0</v>
      </c>
      <c r="P6" s="3">
        <v>18.0</v>
      </c>
      <c r="Q6" s="3">
        <v>1.0</v>
      </c>
      <c r="R6" s="3" t="s">
        <v>19</v>
      </c>
    </row>
    <row r="7" ht="15.0" customHeight="1">
      <c r="A7" s="2" t="s">
        <v>25</v>
      </c>
      <c r="B7" s="2">
        <v>68000.0</v>
      </c>
      <c r="C7" s="2">
        <v>2200.0</v>
      </c>
      <c r="D7" s="2">
        <v>1800.0</v>
      </c>
      <c r="E7" s="2">
        <v>64000.0</v>
      </c>
      <c r="F7" s="2">
        <v>30000.0</v>
      </c>
      <c r="G7" s="2">
        <v>7.0</v>
      </c>
      <c r="H7" s="2">
        <v>40.0</v>
      </c>
      <c r="I7" s="2">
        <v>70200.0</v>
      </c>
      <c r="J7" s="3">
        <v>48500.0</v>
      </c>
      <c r="K7" s="3">
        <v>12350.0</v>
      </c>
      <c r="L7" s="3">
        <v>1235.0</v>
      </c>
      <c r="M7" s="3">
        <v>30.0</v>
      </c>
      <c r="N7" s="3">
        <v>63.0</v>
      </c>
      <c r="O7" s="3">
        <v>72.0</v>
      </c>
      <c r="P7" s="3">
        <v>19.0</v>
      </c>
      <c r="Q7" s="3">
        <v>0.0</v>
      </c>
      <c r="R7" s="3" t="s">
        <v>22</v>
      </c>
    </row>
    <row r="8" ht="15.0" customHeight="1">
      <c r="A8" s="2" t="s">
        <v>26</v>
      </c>
      <c r="B8" s="2">
        <v>69000.0</v>
      </c>
      <c r="C8" s="2">
        <v>2100.0</v>
      </c>
      <c r="D8" s="2">
        <v>1900.0</v>
      </c>
      <c r="E8" s="2">
        <v>65000.0</v>
      </c>
      <c r="F8" s="2">
        <v>30000.0</v>
      </c>
      <c r="G8" s="2">
        <v>7.0</v>
      </c>
      <c r="H8" s="2">
        <v>55.0</v>
      </c>
      <c r="I8" s="2">
        <v>71100.0</v>
      </c>
      <c r="J8" s="3">
        <v>48700.0</v>
      </c>
      <c r="K8" s="3">
        <v>12400.0</v>
      </c>
      <c r="L8" s="3">
        <v>1240.0</v>
      </c>
      <c r="M8" s="3">
        <v>31.0</v>
      </c>
      <c r="N8" s="3">
        <v>63.0</v>
      </c>
      <c r="O8" s="3">
        <v>74.0</v>
      </c>
      <c r="P8" s="3">
        <v>19.0</v>
      </c>
      <c r="Q8" s="3">
        <v>0.0</v>
      </c>
      <c r="R8" s="3" t="s">
        <v>19</v>
      </c>
    </row>
    <row r="9" ht="15.0" customHeight="1">
      <c r="A9" s="2" t="s">
        <v>27</v>
      </c>
      <c r="B9" s="2">
        <v>70000.0</v>
      </c>
      <c r="C9" s="2">
        <v>2300.0</v>
      </c>
      <c r="D9" s="2">
        <v>2000.0</v>
      </c>
      <c r="E9" s="2">
        <v>65700.0</v>
      </c>
      <c r="F9" s="2">
        <v>30000.0</v>
      </c>
      <c r="G9" s="2">
        <v>7.0</v>
      </c>
      <c r="H9" s="2">
        <v>56.0</v>
      </c>
      <c r="I9" s="2">
        <v>72300.0</v>
      </c>
      <c r="J9" s="3">
        <v>49000.0</v>
      </c>
      <c r="K9" s="3">
        <v>12450.0</v>
      </c>
      <c r="L9" s="3">
        <v>1245.0</v>
      </c>
      <c r="M9" s="3">
        <v>31.0</v>
      </c>
      <c r="N9" s="3">
        <v>64.0</v>
      </c>
      <c r="O9" s="3">
        <v>74.0</v>
      </c>
      <c r="P9" s="3">
        <v>20.0</v>
      </c>
      <c r="Q9" s="3">
        <v>0.0</v>
      </c>
      <c r="R9" s="3" t="s">
        <v>19</v>
      </c>
    </row>
    <row r="10" ht="15.0" customHeight="1">
      <c r="A10" s="2" t="s">
        <v>28</v>
      </c>
      <c r="B10" s="2">
        <v>71000.0</v>
      </c>
      <c r="C10" s="2">
        <v>2400.0</v>
      </c>
      <c r="D10" s="2">
        <v>2100.0</v>
      </c>
      <c r="E10" s="2">
        <v>66500.0</v>
      </c>
      <c r="F10" s="2">
        <v>30000.0</v>
      </c>
      <c r="G10" s="2">
        <v>7.0</v>
      </c>
      <c r="H10" s="2">
        <v>57.0</v>
      </c>
      <c r="I10" s="2">
        <v>73400.0</v>
      </c>
      <c r="J10" s="3">
        <v>49200.0</v>
      </c>
      <c r="K10" s="3">
        <v>12480.0</v>
      </c>
      <c r="L10" s="3">
        <v>1248.0</v>
      </c>
      <c r="M10" s="3">
        <v>31.0</v>
      </c>
      <c r="N10" s="3">
        <v>64.0</v>
      </c>
      <c r="O10" s="3">
        <v>75.0</v>
      </c>
      <c r="P10" s="3">
        <v>20.0</v>
      </c>
      <c r="Q10" s="3">
        <v>0.0</v>
      </c>
      <c r="R10" s="3" t="s">
        <v>19</v>
      </c>
    </row>
    <row r="11" ht="15.0" customHeight="1">
      <c r="A11" s="2" t="s">
        <v>29</v>
      </c>
      <c r="B11" s="2">
        <v>72000.0</v>
      </c>
      <c r="C11" s="2">
        <v>2500.0</v>
      </c>
      <c r="D11" s="2">
        <v>2200.0</v>
      </c>
      <c r="E11" s="2">
        <v>67300.0</v>
      </c>
      <c r="F11" s="2">
        <v>30000.0</v>
      </c>
      <c r="G11" s="2">
        <v>8.0</v>
      </c>
      <c r="H11" s="2">
        <v>58.0</v>
      </c>
      <c r="I11" s="2">
        <v>74500.0</v>
      </c>
      <c r="J11" s="3">
        <v>49500.0</v>
      </c>
      <c r="K11" s="3">
        <v>12500.0</v>
      </c>
      <c r="L11" s="3">
        <v>1250.0</v>
      </c>
      <c r="M11" s="3">
        <v>30.0</v>
      </c>
      <c r="N11" s="3">
        <v>63.0</v>
      </c>
      <c r="O11" s="3">
        <v>74.0</v>
      </c>
      <c r="P11" s="3">
        <v>20.0</v>
      </c>
      <c r="Q11" s="3">
        <v>0.0</v>
      </c>
      <c r="R11" s="3" t="s">
        <v>22</v>
      </c>
    </row>
    <row r="12" ht="15.0" customHeight="1">
      <c r="A12" s="2" t="s">
        <v>30</v>
      </c>
      <c r="B12" s="2">
        <v>73000.0</v>
      </c>
      <c r="C12" s="2">
        <v>2600.0</v>
      </c>
      <c r="D12" s="2">
        <v>2200.0</v>
      </c>
      <c r="E12" s="2">
        <v>68200.0</v>
      </c>
      <c r="F12" s="2">
        <v>30000.0</v>
      </c>
      <c r="G12" s="2">
        <v>8.0</v>
      </c>
      <c r="H12" s="2">
        <v>59.0</v>
      </c>
      <c r="I12" s="2">
        <v>75600.0</v>
      </c>
      <c r="J12" s="3">
        <v>49700.0</v>
      </c>
      <c r="K12" s="3">
        <v>12550.0</v>
      </c>
      <c r="L12" s="3">
        <v>1255.0</v>
      </c>
      <c r="M12" s="3">
        <v>29.0</v>
      </c>
      <c r="N12" s="3">
        <v>62.0</v>
      </c>
      <c r="O12" s="3">
        <v>73.0</v>
      </c>
      <c r="P12" s="3">
        <v>19.0</v>
      </c>
      <c r="Q12" s="3">
        <v>0.0</v>
      </c>
      <c r="R12" s="3" t="s">
        <v>19</v>
      </c>
    </row>
    <row r="13" ht="15.0" customHeight="1">
      <c r="A13" s="2" t="s">
        <v>31</v>
      </c>
      <c r="B13" s="2">
        <v>74000.0</v>
      </c>
      <c r="C13" s="2">
        <v>2700.0</v>
      </c>
      <c r="D13" s="2">
        <v>2300.0</v>
      </c>
      <c r="E13" s="2">
        <v>69000.0</v>
      </c>
      <c r="F13" s="2">
        <v>30000.0</v>
      </c>
      <c r="G13" s="2">
        <v>8.0</v>
      </c>
      <c r="H13" s="2">
        <v>60.0</v>
      </c>
      <c r="I13" s="2">
        <v>76700.0</v>
      </c>
      <c r="J13" s="3">
        <v>50000.0</v>
      </c>
      <c r="K13" s="3">
        <v>12600.0</v>
      </c>
      <c r="L13" s="3">
        <v>1260.0</v>
      </c>
      <c r="M13" s="3">
        <v>29.0</v>
      </c>
      <c r="N13" s="3">
        <v>61.0</v>
      </c>
      <c r="O13" s="3">
        <v>72.0</v>
      </c>
      <c r="P13" s="3">
        <v>19.0</v>
      </c>
      <c r="Q13" s="3">
        <v>0.0</v>
      </c>
      <c r="R13" s="3" t="s">
        <v>19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3" width="52.0"/>
    <col customWidth="1" min="4" max="26" width="8.71"/>
  </cols>
  <sheetData>
    <row r="1" ht="15.75" customHeight="1">
      <c r="A1" s="5" t="s">
        <v>32</v>
      </c>
      <c r="B1" s="6"/>
      <c r="C1" s="7"/>
    </row>
    <row r="2" ht="15.0" customHeight="1">
      <c r="A2" s="8" t="s">
        <v>33</v>
      </c>
      <c r="B2" s="9" t="s">
        <v>34</v>
      </c>
      <c r="C2" s="8" t="s">
        <v>35</v>
      </c>
    </row>
    <row r="3" ht="15.0" customHeight="1">
      <c r="A3" s="10" t="s">
        <v>36</v>
      </c>
      <c r="B3" s="2">
        <f>SUM('Capacity Data'!B2:B13)</f>
        <v>821000</v>
      </c>
      <c r="C3" s="10" t="s">
        <v>37</v>
      </c>
    </row>
    <row r="4" ht="15.0" customHeight="1">
      <c r="A4" s="10" t="s">
        <v>38</v>
      </c>
      <c r="B4" s="2">
        <f>SUM('Capacity Data'!C2:C13)</f>
        <v>26900</v>
      </c>
      <c r="C4" s="10" t="s">
        <v>39</v>
      </c>
    </row>
    <row r="5" ht="15.0" customHeight="1">
      <c r="A5" s="10" t="s">
        <v>40</v>
      </c>
      <c r="B5" s="2">
        <f>SUM('Capacity Data'!D2:D13)</f>
        <v>22700</v>
      </c>
      <c r="C5" s="10" t="s">
        <v>41</v>
      </c>
    </row>
    <row r="6" ht="15.0" customHeight="1">
      <c r="A6" s="10" t="s">
        <v>42</v>
      </c>
      <c r="B6" s="2">
        <f>SUM('Capacity Data'!E2:E13)</f>
        <v>771400</v>
      </c>
      <c r="C6" s="10" t="s">
        <v>43</v>
      </c>
    </row>
    <row r="7" ht="15.0" customHeight="1">
      <c r="A7" s="10" t="s">
        <v>44</v>
      </c>
      <c r="B7" s="2">
        <f>SUM('Capacity Data'!F2:F13)</f>
        <v>360000</v>
      </c>
      <c r="C7" s="10" t="s">
        <v>45</v>
      </c>
    </row>
    <row r="8" ht="15.0" customHeight="1">
      <c r="A8" s="10" t="s">
        <v>46</v>
      </c>
      <c r="B8" s="2">
        <f>B6-B7</f>
        <v>411400</v>
      </c>
      <c r="C8" s="10" t="s">
        <v>47</v>
      </c>
    </row>
    <row r="9" ht="15.0" customHeight="1">
      <c r="A9" s="10" t="s">
        <v>48</v>
      </c>
      <c r="B9" s="2">
        <v>90.0</v>
      </c>
      <c r="C9" s="10" t="s">
        <v>49</v>
      </c>
    </row>
    <row r="10" ht="15.0" customHeight="1">
      <c r="A10" s="10" t="s">
        <v>50</v>
      </c>
      <c r="B10" s="2">
        <v>0.15</v>
      </c>
      <c r="C10" s="10" t="s">
        <v>51</v>
      </c>
    </row>
    <row r="11">
      <c r="A11" s="4"/>
      <c r="B11" s="4"/>
      <c r="C11" s="4"/>
    </row>
    <row r="12" ht="15.0" customHeight="1">
      <c r="A12" s="4"/>
      <c r="B12" s="11"/>
      <c r="C12" s="4"/>
    </row>
    <row r="13" ht="15.0" customHeight="1">
      <c r="A13" s="4"/>
      <c r="B13" s="12"/>
      <c r="C13" s="4"/>
    </row>
    <row r="14">
      <c r="A14" s="4"/>
      <c r="B14" s="4"/>
      <c r="C14" s="4"/>
    </row>
    <row r="15" ht="15.0" customHeight="1">
      <c r="A15" s="13"/>
      <c r="B15" s="4"/>
      <c r="C15" s="4"/>
    </row>
    <row r="16" ht="15.0" customHeight="1">
      <c r="A16" s="14"/>
    </row>
    <row r="17" ht="15.0" customHeight="1">
      <c r="A17" s="14"/>
    </row>
    <row r="18" ht="15.0" customHeight="1">
      <c r="A18" s="14"/>
    </row>
    <row r="19">
      <c r="A19" s="4"/>
      <c r="B19" s="4"/>
      <c r="C19" s="4"/>
    </row>
    <row r="20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mergeCells count="4">
    <mergeCell ref="A1:C1"/>
    <mergeCell ref="A16:C16"/>
    <mergeCell ref="A17:C17"/>
    <mergeCell ref="A18:C18"/>
  </mergeCells>
  <printOptions/>
  <pageMargins bottom="1.0" footer="0.0" header="0.0" left="0.75" right="0.75" top="1.0"/>
  <pageSetup paperSize="9" orientation="portrait"/>
  <drawing r:id="rId1"/>
</worksheet>
</file>