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or_Rates" sheetId="1" r:id="rId4"/>
  </sheets>
  <definedNames/>
  <calcPr/>
  <extLst>
    <ext uri="GoogleSheetsCustomDataVersion2">
      <go:sheetsCustomData xmlns:go="http://customooxmlschemas.google.com/" r:id="rId5" roundtripDataChecksum="zmWa1I8KO+CadVVwbYR2EoEtGye0WFpSMo5u3vpBrkI="/>
    </ext>
  </extLst>
</workbook>
</file>

<file path=xl/sharedStrings.xml><?xml version="1.0" encoding="utf-8"?>
<sst xmlns="http://schemas.openxmlformats.org/spreadsheetml/2006/main" count="98" uniqueCount="90">
  <si>
    <t>MediForm Inc. — Internal Labor &amp; Overhead Rate Card (FY2026)</t>
  </si>
  <si>
    <t>Approved by: VP Operations   |   Effective: January 1, 2026   |   Confidential — Internal Use Only</t>
  </si>
  <si>
    <t>Section 1 — Current Production Workforce (Day Shift)</t>
  </si>
  <si>
    <t>Role</t>
  </si>
  <si>
    <t>Stage</t>
  </si>
  <si>
    <t>Headcount</t>
  </si>
  <si>
    <t>Internal Rate ($/hr)</t>
  </si>
  <si>
    <t>Annual Cost ($)</t>
  </si>
  <si>
    <t>Assembly Technician</t>
  </si>
  <si>
    <t>Component Assembly</t>
  </si>
  <si>
    <t>Filling &amp; Crimping Operator</t>
  </si>
  <si>
    <t>Filling &amp; Crimping</t>
  </si>
  <si>
    <t>Sterile Processing Tech.</t>
  </si>
  <si>
    <t>Sterilization</t>
  </si>
  <si>
    <t>QC Inspector / Label Op.</t>
  </si>
  <si>
    <t>Final Inspection &amp; Labeling</t>
  </si>
  <si>
    <t>Clean Room Supervisor</t>
  </si>
  <si>
    <t>All Stages</t>
  </si>
  <si>
    <t>TOTAL DIRECT LABOR COST</t>
  </si>
  <si>
    <t>Section 2 — Facility &amp; Overhead Rates</t>
  </si>
  <si>
    <t>Cost Item</t>
  </si>
  <si>
    <t>Basis</t>
  </si>
  <si>
    <t>Rate / Amount</t>
  </si>
  <si>
    <t>Frequency</t>
  </si>
  <si>
    <t>Annual Total ($)</t>
  </si>
  <si>
    <t>Clean Room Facility (Line 1)</t>
  </si>
  <si>
    <t>Per shift/day</t>
  </si>
  <si>
    <t>$580</t>
  </si>
  <si>
    <t>Daily</t>
  </si>
  <si>
    <t>Autoclave Depreciation</t>
  </si>
  <si>
    <t>Annual straight-line</t>
  </si>
  <si>
    <t>$18,000</t>
  </si>
  <si>
    <t>Annual</t>
  </si>
  <si>
    <t>Utilities &amp; Gases (N2, steam)</t>
  </si>
  <si>
    <t>Per unit produced</t>
  </si>
  <si>
    <t>$0.28</t>
  </si>
  <si>
    <t>Per unit</t>
  </si>
  <si>
    <t>Sterility Consumables</t>
  </si>
  <si>
    <t>$0.55</t>
  </si>
  <si>
    <t>Regulatory &amp; QA Compliance</t>
  </si>
  <si>
    <t>Fixed annual</t>
  </si>
  <si>
    <t>$14,200</t>
  </si>
  <si>
    <t>Admin Overhead Allocation</t>
  </si>
  <si>
    <t>% of direct labor</t>
  </si>
  <si>
    <t>15%</t>
  </si>
  <si>
    <t>Section 3 — Key Planning Assumptions &amp; Pricing Data</t>
  </si>
  <si>
    <t>Assumption</t>
  </si>
  <si>
    <t>Value</t>
  </si>
  <si>
    <t>Unit</t>
  </si>
  <si>
    <t>Notes</t>
  </si>
  <si>
    <t>Operating hours/day (day shift)</t>
  </si>
  <si>
    <t>hrs</t>
  </si>
  <si>
    <t>Single shift — 08:00 to 16:00</t>
  </si>
  <si>
    <t>Evening shift hours/day (Option A)</t>
  </si>
  <si>
    <t>16:00 to 20:00</t>
  </si>
  <si>
    <t>Working days/year</t>
  </si>
  <si>
    <t>days</t>
  </si>
  <si>
    <t>Excludes weekends &amp; 10 public holidays</t>
  </si>
  <si>
    <t>Selling price per unit</t>
  </si>
  <si>
    <t>$6.40</t>
  </si>
  <si>
    <t>$/unit</t>
  </si>
  <si>
    <t>Average across hospital contract SKUs</t>
  </si>
  <si>
    <t>Variable cost per unit</t>
  </si>
  <si>
    <t>$2.85</t>
  </si>
  <si>
    <t>Materials + direct labor + consumables</t>
  </si>
  <si>
    <t>Contribution margin per unit</t>
  </si>
  <si>
    <t>$3.55</t>
  </si>
  <si>
    <t>Selling price minus variable cost</t>
  </si>
  <si>
    <t>Evening shift wage premium</t>
  </si>
  <si>
    <t>10%</t>
  </si>
  <si>
    <t>% above base</t>
  </si>
  <si>
    <t>Applies to Option A technicians</t>
  </si>
  <si>
    <t>QA Supervisor rate (training)</t>
  </si>
  <si>
    <t>$42.00</t>
  </si>
  <si>
    <t>$/hr</t>
  </si>
  <si>
    <t>Used for FDA qualification oversight cost</t>
  </si>
  <si>
    <t>Recruitment fee (StaffMed)</t>
  </si>
  <si>
    <t>$1,800</t>
  </si>
  <si>
    <t>$/hire</t>
  </si>
  <si>
    <t>Per technician — one-time agency fee</t>
  </si>
  <si>
    <t>AutoClave Pro 900 lease</t>
  </si>
  <si>
    <t>$8,200</t>
  </si>
  <si>
    <t>$/month</t>
  </si>
  <si>
    <t>All-inclusive — MedEquip Leasing Quote MEL-2026-0388</t>
  </si>
  <si>
    <t>FDA qualification (Option A)</t>
  </si>
  <si>
    <t>6</t>
  </si>
  <si>
    <t>weeks</t>
  </si>
  <si>
    <t>Before technician operates autoclave independently</t>
  </si>
  <si>
    <t xml:space="preserve">Sterile Processing Technician hourly wage (2025) </t>
  </si>
  <si>
    <t>$20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</si>
</sst>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\$#,##0"/>
  </numFmts>
  <fonts count="10">
    <font>
      <sz val="11.0"/>
      <color theme="1"/>
      <name val="Calibri"/>
      <scheme val="minor"/>
    </font>
    <font>
      <b/>
      <sz val="13.0"/>
      <color rgb="FF1F4E79"/>
      <name val="Arial"/>
    </font>
    <font/>
    <font>
      <i/>
      <sz val="9.0"/>
      <color rgb="FF555555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7" fillId="5" fontId="5" numFmtId="0" xfId="0" applyAlignment="1" applyBorder="1" applyFill="1" applyFont="1">
      <alignment horizontal="left" shrinkToFit="0" vertical="center" wrapText="1"/>
    </xf>
    <xf borderId="7" fillId="5" fontId="6" numFmtId="0" xfId="0" applyAlignment="1" applyBorder="1" applyFont="1">
      <alignment horizontal="left" shrinkToFit="0" vertical="center" wrapText="1"/>
    </xf>
    <xf borderId="7" fillId="5" fontId="6" numFmtId="0" xfId="0" applyAlignment="1" applyBorder="1" applyFont="1">
      <alignment horizontal="center" shrinkToFit="0" vertical="center" wrapText="1"/>
    </xf>
    <xf borderId="7" fillId="5" fontId="6" numFmtId="164" xfId="0" applyAlignment="1" applyBorder="1" applyFont="1" applyNumberFormat="1">
      <alignment horizontal="center" shrinkToFit="0" vertical="center" wrapText="1"/>
    </xf>
    <xf borderId="7" fillId="5" fontId="6" numFmtId="165" xfId="0" applyAlignment="1" applyBorder="1" applyFont="1" applyNumberFormat="1">
      <alignment horizontal="center" shrinkToFit="0" vertical="center" wrapText="1"/>
    </xf>
    <xf borderId="7" fillId="6" fontId="5" numFmtId="0" xfId="0" applyAlignment="1" applyBorder="1" applyFill="1" applyFont="1">
      <alignment horizontal="left" shrinkToFit="0" vertical="center" wrapText="1"/>
    </xf>
    <xf borderId="7" fillId="6" fontId="6" numFmtId="0" xfId="0" applyAlignment="1" applyBorder="1" applyFont="1">
      <alignment horizontal="left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7" fillId="6" fontId="6" numFmtId="164" xfId="0" applyAlignment="1" applyBorder="1" applyFont="1" applyNumberFormat="1">
      <alignment horizontal="center" shrinkToFit="0" vertical="center" wrapText="1"/>
    </xf>
    <xf borderId="7" fillId="6" fontId="6" numFmtId="165" xfId="0" applyAlignment="1" applyBorder="1" applyFont="1" applyNumberFormat="1">
      <alignment horizontal="center" shrinkToFit="0" vertical="center" wrapText="1"/>
    </xf>
    <xf borderId="4" fillId="2" fontId="7" numFmtId="0" xfId="0" applyAlignment="1" applyBorder="1" applyFont="1">
      <alignment horizontal="left"/>
    </xf>
    <xf borderId="7" fillId="2" fontId="7" numFmtId="165" xfId="0" applyBorder="1" applyFont="1" applyNumberFormat="1"/>
    <xf borderId="0" fillId="0" fontId="8" numFmtId="0" xfId="0" applyFont="1"/>
    <xf borderId="0" fillId="0" fontId="9" numFmtId="0" xfId="0" applyAlignment="1" applyFont="1">
      <alignment horizontal="center"/>
    </xf>
    <xf borderId="8" fillId="5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1.71"/>
    <col customWidth="1" min="3" max="3" width="14.0"/>
    <col customWidth="1" min="4" max="4" width="40.0"/>
    <col customWidth="1" min="5" max="5" width="10.0"/>
    <col customWidth="1" min="6" max="26" width="8.71"/>
  </cols>
  <sheetData>
    <row r="1" ht="27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</row>
    <row r="4" ht="19.5" customHeight="1">
      <c r="A4" s="5" t="s">
        <v>2</v>
      </c>
      <c r="B4" s="6"/>
      <c r="C4" s="6"/>
      <c r="D4" s="6"/>
      <c r="E4" s="7"/>
    </row>
    <row r="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ht="16.5" customHeight="1">
      <c r="A6" s="9" t="s">
        <v>8</v>
      </c>
      <c r="B6" s="10" t="s">
        <v>9</v>
      </c>
      <c r="C6" s="11">
        <v>2.0</v>
      </c>
      <c r="D6" s="12">
        <v>20.5</v>
      </c>
      <c r="E6" s="13">
        <f t="shared" ref="E6:E10" si="1">C6*D6*8*250</f>
        <v>82000</v>
      </c>
    </row>
    <row r="7" ht="16.5" customHeight="1">
      <c r="A7" s="14" t="s">
        <v>10</v>
      </c>
      <c r="B7" s="15" t="s">
        <v>11</v>
      </c>
      <c r="C7" s="16">
        <v>2.0</v>
      </c>
      <c r="D7" s="17">
        <v>23.0</v>
      </c>
      <c r="E7" s="18">
        <f t="shared" si="1"/>
        <v>92000</v>
      </c>
    </row>
    <row r="8" ht="16.5" customHeight="1">
      <c r="A8" s="9" t="s">
        <v>12</v>
      </c>
      <c r="B8" s="10" t="s">
        <v>13</v>
      </c>
      <c r="C8" s="11">
        <v>2.0</v>
      </c>
      <c r="D8" s="12">
        <v>24.5</v>
      </c>
      <c r="E8" s="13">
        <f t="shared" si="1"/>
        <v>98000</v>
      </c>
    </row>
    <row r="9" ht="16.5" customHeight="1">
      <c r="A9" s="14" t="s">
        <v>14</v>
      </c>
      <c r="B9" s="15" t="s">
        <v>15</v>
      </c>
      <c r="C9" s="16">
        <v>2.0</v>
      </c>
      <c r="D9" s="17">
        <v>22.0</v>
      </c>
      <c r="E9" s="18">
        <f t="shared" si="1"/>
        <v>88000</v>
      </c>
    </row>
    <row r="10" ht="16.5" customHeight="1">
      <c r="A10" s="9" t="s">
        <v>16</v>
      </c>
      <c r="B10" s="10" t="s">
        <v>17</v>
      </c>
      <c r="C10" s="11">
        <v>1.0</v>
      </c>
      <c r="D10" s="12">
        <v>42.0</v>
      </c>
      <c r="E10" s="13">
        <f t="shared" si="1"/>
        <v>84000</v>
      </c>
    </row>
    <row r="11" ht="18.0" customHeight="1">
      <c r="A11" s="19" t="s">
        <v>18</v>
      </c>
      <c r="B11" s="6"/>
      <c r="C11" s="6"/>
      <c r="D11" s="7"/>
      <c r="E11" s="20">
        <f>SUM(E6:E10)</f>
        <v>444000</v>
      </c>
    </row>
    <row r="13" ht="19.5" customHeight="1">
      <c r="A13" s="5" t="s">
        <v>19</v>
      </c>
      <c r="B13" s="6"/>
      <c r="C13" s="6"/>
      <c r="D13" s="6"/>
      <c r="E13" s="7"/>
    </row>
    <row r="14">
      <c r="A14" s="8" t="s">
        <v>20</v>
      </c>
      <c r="B14" s="8" t="s">
        <v>21</v>
      </c>
      <c r="C14" s="8" t="s">
        <v>22</v>
      </c>
      <c r="D14" s="8" t="s">
        <v>23</v>
      </c>
      <c r="E14" s="8" t="s">
        <v>24</v>
      </c>
    </row>
    <row r="15" ht="16.5" customHeight="1">
      <c r="A15" s="10" t="s">
        <v>25</v>
      </c>
      <c r="B15" s="11" t="s">
        <v>26</v>
      </c>
      <c r="C15" s="11" t="s">
        <v>27</v>
      </c>
      <c r="D15" s="11" t="s">
        <v>28</v>
      </c>
      <c r="E15" s="13">
        <f>580*250</f>
        <v>145000</v>
      </c>
    </row>
    <row r="16" ht="16.5" customHeight="1">
      <c r="A16" s="15" t="s">
        <v>29</v>
      </c>
      <c r="B16" s="16" t="s">
        <v>30</v>
      </c>
      <c r="C16" s="16" t="s">
        <v>31</v>
      </c>
      <c r="D16" s="16" t="s">
        <v>32</v>
      </c>
      <c r="E16" s="18">
        <v>18000.0</v>
      </c>
    </row>
    <row r="17" ht="16.5" customHeight="1">
      <c r="A17" s="10" t="s">
        <v>33</v>
      </c>
      <c r="B17" s="11" t="s">
        <v>34</v>
      </c>
      <c r="C17" s="11" t="s">
        <v>35</v>
      </c>
      <c r="D17" s="11" t="s">
        <v>36</v>
      </c>
      <c r="E17" s="13">
        <f>0.28*3077</f>
        <v>861.56</v>
      </c>
    </row>
    <row r="18" ht="16.5" customHeight="1">
      <c r="A18" s="15" t="s">
        <v>37</v>
      </c>
      <c r="B18" s="16" t="s">
        <v>34</v>
      </c>
      <c r="C18" s="16" t="s">
        <v>38</v>
      </c>
      <c r="D18" s="16" t="s">
        <v>36</v>
      </c>
      <c r="E18" s="18">
        <f>0.55*3077</f>
        <v>1692.35</v>
      </c>
    </row>
    <row r="19" ht="16.5" customHeight="1">
      <c r="A19" s="10" t="s">
        <v>39</v>
      </c>
      <c r="B19" s="11" t="s">
        <v>40</v>
      </c>
      <c r="C19" s="11" t="s">
        <v>41</v>
      </c>
      <c r="D19" s="11" t="s">
        <v>32</v>
      </c>
      <c r="E19" s="13">
        <v>14200.0</v>
      </c>
    </row>
    <row r="20" ht="16.5" customHeight="1">
      <c r="A20" s="15" t="s">
        <v>42</v>
      </c>
      <c r="B20" s="16" t="s">
        <v>43</v>
      </c>
      <c r="C20" s="16" t="s">
        <v>44</v>
      </c>
      <c r="D20" s="16" t="s">
        <v>32</v>
      </c>
      <c r="E20" s="18">
        <f>0.15*E11</f>
        <v>66600</v>
      </c>
    </row>
    <row r="21" ht="15.75" customHeight="1"/>
    <row r="22" ht="15.75" customHeight="1"/>
    <row r="23" ht="19.5" customHeight="1">
      <c r="A23" s="5" t="s">
        <v>45</v>
      </c>
      <c r="B23" s="6"/>
      <c r="C23" s="6"/>
      <c r="D23" s="6"/>
      <c r="E23" s="7"/>
    </row>
    <row r="24" ht="15.75" customHeight="1">
      <c r="A24" s="8" t="s">
        <v>46</v>
      </c>
      <c r="B24" s="8" t="s">
        <v>47</v>
      </c>
      <c r="C24" s="8" t="s">
        <v>48</v>
      </c>
      <c r="D24" s="8" t="s">
        <v>49</v>
      </c>
      <c r="E24" s="8"/>
    </row>
    <row r="25" ht="16.5" customHeight="1">
      <c r="A25" s="10" t="s">
        <v>50</v>
      </c>
      <c r="B25" s="11">
        <v>8.0</v>
      </c>
      <c r="C25" s="11" t="s">
        <v>51</v>
      </c>
      <c r="D25" s="10" t="s">
        <v>52</v>
      </c>
      <c r="E25" s="10"/>
    </row>
    <row r="26" ht="16.5" customHeight="1">
      <c r="A26" s="15" t="s">
        <v>53</v>
      </c>
      <c r="B26" s="16">
        <v>4.0</v>
      </c>
      <c r="C26" s="16" t="s">
        <v>51</v>
      </c>
      <c r="D26" s="15" t="s">
        <v>54</v>
      </c>
      <c r="E26" s="15"/>
    </row>
    <row r="27" ht="16.5" customHeight="1">
      <c r="A27" s="10" t="s">
        <v>55</v>
      </c>
      <c r="B27" s="11">
        <v>250.0</v>
      </c>
      <c r="C27" s="11" t="s">
        <v>56</v>
      </c>
      <c r="D27" s="10" t="s">
        <v>57</v>
      </c>
      <c r="E27" s="10"/>
    </row>
    <row r="28" ht="16.5" customHeight="1">
      <c r="A28" s="15" t="s">
        <v>58</v>
      </c>
      <c r="B28" s="16" t="s">
        <v>59</v>
      </c>
      <c r="C28" s="16" t="s">
        <v>60</v>
      </c>
      <c r="D28" s="15" t="s">
        <v>61</v>
      </c>
      <c r="E28" s="15"/>
    </row>
    <row r="29" ht="16.5" customHeight="1">
      <c r="A29" s="10" t="s">
        <v>62</v>
      </c>
      <c r="B29" s="11" t="s">
        <v>63</v>
      </c>
      <c r="C29" s="11" t="s">
        <v>60</v>
      </c>
      <c r="D29" s="10" t="s">
        <v>64</v>
      </c>
      <c r="E29" s="10"/>
    </row>
    <row r="30" ht="16.5" customHeight="1">
      <c r="A30" s="15" t="s">
        <v>65</v>
      </c>
      <c r="B30" s="16" t="s">
        <v>66</v>
      </c>
      <c r="C30" s="16" t="s">
        <v>60</v>
      </c>
      <c r="D30" s="15" t="s">
        <v>67</v>
      </c>
      <c r="E30" s="15"/>
    </row>
    <row r="31" ht="16.5" customHeight="1">
      <c r="A31" s="10" t="s">
        <v>68</v>
      </c>
      <c r="B31" s="11" t="s">
        <v>69</v>
      </c>
      <c r="C31" s="11" t="s">
        <v>70</v>
      </c>
      <c r="D31" s="10" t="s">
        <v>71</v>
      </c>
      <c r="E31" s="10"/>
    </row>
    <row r="32" ht="16.5" customHeight="1">
      <c r="A32" s="15" t="s">
        <v>72</v>
      </c>
      <c r="B32" s="16" t="s">
        <v>73</v>
      </c>
      <c r="C32" s="16" t="s">
        <v>74</v>
      </c>
      <c r="D32" s="15" t="s">
        <v>75</v>
      </c>
      <c r="E32" s="15"/>
    </row>
    <row r="33" ht="16.5" customHeight="1">
      <c r="A33" s="10" t="s">
        <v>76</v>
      </c>
      <c r="B33" s="11" t="s">
        <v>77</v>
      </c>
      <c r="C33" s="11" t="s">
        <v>78</v>
      </c>
      <c r="D33" s="10" t="s">
        <v>79</v>
      </c>
      <c r="E33" s="10"/>
    </row>
    <row r="34" ht="16.5" customHeight="1">
      <c r="A34" s="15" t="s">
        <v>80</v>
      </c>
      <c r="B34" s="16" t="s">
        <v>81</v>
      </c>
      <c r="C34" s="16" t="s">
        <v>82</v>
      </c>
      <c r="D34" s="15" t="s">
        <v>83</v>
      </c>
      <c r="E34" s="15"/>
    </row>
    <row r="35" ht="16.5" customHeight="1">
      <c r="A35" s="15" t="s">
        <v>84</v>
      </c>
      <c r="B35" s="16" t="s">
        <v>85</v>
      </c>
      <c r="C35" s="16" t="s">
        <v>86</v>
      </c>
      <c r="D35" s="15" t="s">
        <v>87</v>
      </c>
      <c r="E35" s="10"/>
    </row>
    <row r="36" ht="16.5" customHeight="1">
      <c r="A36" s="21" t="s">
        <v>88</v>
      </c>
      <c r="B36" s="22" t="s">
        <v>89</v>
      </c>
      <c r="C36" s="23" t="s">
        <v>74</v>
      </c>
      <c r="D36" s="24">
        <v>2025.0</v>
      </c>
      <c r="E36" s="1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2:E2"/>
    <mergeCell ref="A4:E4"/>
    <mergeCell ref="A11:D11"/>
    <mergeCell ref="A13:E13"/>
    <mergeCell ref="A23:E2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2026-02-25T13:37:52Z</dcterms:created>
  <dc:creator>openpyxl</dc:creator>
</cp:coreProperties>
</file>