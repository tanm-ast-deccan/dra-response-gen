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Assumptions" sheetId="1" state="visible" r:id="rId1"/>
    <sheet xmlns:r="http://schemas.openxmlformats.org/officeDocument/2006/relationships" name="Cost Build (Draft)" sheetId="2" state="visible" r:id="rId2"/>
    <sheet xmlns:r="http://schemas.openxmlformats.org/officeDocument/2006/relationships" name="FY24 API Spen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000000"/>
      <sz val="8"/>
    </font>
    <font>
      <name val="Calibri"/>
      <b val="1"/>
      <color rgb="00C00000"/>
      <sz val="9"/>
    </font>
    <font>
      <name val="Calibri"/>
      <i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2B5F8E"/>
      </patternFill>
    </fill>
    <fill>
      <patternFill patternType="solid">
        <fgColor rgb="00D9E8F5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26" customWidth="1" min="4" max="4"/>
  </cols>
  <sheetData>
    <row r="1" ht="22" customHeight="1">
      <c r="A1" s="1" t="inlineStr">
        <is>
          <t>BOBBY PHARMA PRODUCTS PVT. LTD. — API PROCUREMENT COST MODEL FY 2024-25</t>
        </is>
      </c>
      <c r="B1" s="2" t="n"/>
      <c r="C1" s="2" t="n"/>
      <c r="D1" s="3" t="n"/>
    </row>
    <row r="2" ht="15" customHeight="1">
      <c r="A2" s="4" t="inlineStr">
        <is>
          <t>Formulation Plant: Hyderabad (Unit II)  |  Category: Active Pharmaceutical Ingredients  |  CONFIDENTIAL</t>
        </is>
      </c>
      <c r="B2" s="2" t="n"/>
      <c r="C2" s="2" t="n"/>
      <c r="D2" s="3" t="n"/>
    </row>
    <row r="3" ht="6" customHeight="1"/>
    <row r="4" ht="16" customHeight="1">
      <c r="A4" s="5" t="inlineStr">
        <is>
          <t>SECTION A — ANNUAL API PROCUREMENT VOLUMES</t>
        </is>
      </c>
      <c r="B4" s="2" t="n"/>
      <c r="C4" s="2" t="n"/>
      <c r="D4" s="3" t="n"/>
    </row>
    <row r="5" ht="16" customHeight="1">
      <c r="A5" s="6" t="inlineStr">
        <is>
          <t>API / Molecule</t>
        </is>
      </c>
      <c r="B5" s="6" t="inlineStr">
        <is>
          <t>Annual Qty Required</t>
        </is>
      </c>
      <c r="C5" s="6" t="inlineStr">
        <is>
          <t>Unit</t>
        </is>
      </c>
      <c r="D5" s="6" t="inlineStr">
        <is>
          <t>Planning Basis</t>
        </is>
      </c>
    </row>
    <row r="6" ht="14" customHeight="1">
      <c r="A6" s="7" t="inlineStr">
        <is>
          <t>Metformin HCl (Anti-diabetic)</t>
        </is>
      </c>
      <c r="B6" s="8" t="n">
        <v>9800</v>
      </c>
      <c r="C6" s="8" t="inlineStr">
        <is>
          <t>kg/year</t>
        </is>
      </c>
      <c r="D6" s="9" t="inlineStr">
        <is>
          <t>FY25 formulation plan — 500mg tablet line</t>
        </is>
      </c>
    </row>
    <row r="7" ht="14" customHeight="1">
      <c r="A7" s="10" t="inlineStr">
        <is>
          <t>Atorvastatin Calcium (Statin)</t>
        </is>
      </c>
      <c r="B7" s="11" t="n">
        <v>1420</v>
      </c>
      <c r="C7" s="11" t="inlineStr">
        <is>
          <t>kg/year</t>
        </is>
      </c>
      <c r="D7" s="12" t="inlineStr">
        <is>
          <t>FY25 plan — 10mg &amp; 20mg capsule lines</t>
        </is>
      </c>
    </row>
    <row r="8" ht="14" customHeight="1">
      <c r="A8" s="7" t="inlineStr">
        <is>
          <t>Amlodipine Besylate (Antihypertensive)</t>
        </is>
      </c>
      <c r="B8" s="8" t="n">
        <v>310</v>
      </c>
      <c r="C8" s="8" t="inlineStr">
        <is>
          <t>kg/year</t>
        </is>
      </c>
      <c r="D8" s="9" t="inlineStr">
        <is>
          <t>FY25 plan — 5mg tablet line</t>
        </is>
      </c>
    </row>
    <row r="9" ht="14" customHeight="1">
      <c r="A9" s="10" t="inlineStr">
        <is>
          <t>Pantoprazole Sodium (PPI)</t>
        </is>
      </c>
      <c r="B9" s="11" t="n">
        <v>2260</v>
      </c>
      <c r="C9" s="11" t="inlineStr">
        <is>
          <t>kg/year</t>
        </is>
      </c>
      <c r="D9" s="12" t="inlineStr">
        <is>
          <t>FY25 plan — 40mg enteric-coated tablets</t>
        </is>
      </c>
    </row>
    <row r="10" ht="14" customHeight="1">
      <c r="A10" s="7" t="inlineStr">
        <is>
          <t>Cetirizine HCl (Antihistamine)</t>
        </is>
      </c>
      <c r="B10" s="8" t="n">
        <v>780</v>
      </c>
      <c r="C10" s="8" t="inlineStr">
        <is>
          <t>kg/year</t>
        </is>
      </c>
      <c r="D10" s="9" t="inlineStr">
        <is>
          <t>FY25 plan — 10mg tablet &amp; syrup line</t>
        </is>
      </c>
    </row>
    <row r="11" ht="6" customHeight="1"/>
    <row r="12" ht="16" customHeight="1">
      <c r="A12" s="5" t="inlineStr">
        <is>
          <t>SECTION B — SUPPLIER PRICE COMPARISON (per kg, ex-works)</t>
        </is>
      </c>
      <c r="B12" s="2" t="n"/>
      <c r="C12" s="2" t="n"/>
      <c r="D12" s="3" t="n"/>
    </row>
    <row r="13" ht="28" customHeight="1">
      <c r="A13" s="6" t="inlineStr">
        <is>
          <t>Parameter</t>
        </is>
      </c>
      <c r="B13" s="6" t="inlineStr">
        <is>
          <t>Supplier A — Shreya Life Sciences
(Hyderabad)</t>
        </is>
      </c>
      <c r="C13" s="6" t="inlineStr">
        <is>
          <t>Supplier B — Arjuna Pharma Chem
(Ankleshwar, Gujarat)</t>
        </is>
      </c>
      <c r="D13" s="6" t="inlineStr">
        <is>
          <t>Remark</t>
        </is>
      </c>
    </row>
    <row r="14" ht="14" customHeight="1">
      <c r="A14" s="7" t="inlineStr">
        <is>
          <t>Metformin HCl — base price (₹/kg)</t>
        </is>
      </c>
      <c r="B14" s="8" t="n">
        <v>148</v>
      </c>
      <c r="C14" s="8" t="n">
        <v>131</v>
      </c>
      <c r="D14" s="9" t="inlineStr">
        <is>
          <t>Supplier B 11.5% cheaper on base; established Gujarat API belt vendor</t>
        </is>
      </c>
    </row>
    <row r="15" ht="14" customHeight="1">
      <c r="A15" s="10" t="inlineStr">
        <is>
          <t>Atorvastatin Calcium — base price (₹/kg)</t>
        </is>
      </c>
      <c r="B15" s="11" t="n">
        <v>4650</v>
      </c>
      <c r="C15" s="11" t="n">
        <v>4280</v>
      </c>
      <c r="D15" s="12" t="inlineStr">
        <is>
          <t>Supplier B 8.0% cheaper; lower overheads in Ankleshwar cluster</t>
        </is>
      </c>
    </row>
    <row r="16" ht="14" customHeight="1">
      <c r="A16" s="7" t="inlineStr">
        <is>
          <t>Amlodipine Besylate — base price (₹/kg)</t>
        </is>
      </c>
      <c r="B16" s="8" t="n">
        <v>7200</v>
      </c>
      <c r="C16" s="8" t="n">
        <v>6640</v>
      </c>
      <c r="D16" s="9" t="inlineStr">
        <is>
          <t>Supplier B 7.8% cheaper</t>
        </is>
      </c>
    </row>
    <row r="17" ht="14" customHeight="1">
      <c r="A17" s="10" t="inlineStr">
        <is>
          <t>Pantoprazole Sodium — base price (₹/kg)</t>
        </is>
      </c>
      <c r="B17" s="11" t="n">
        <v>1820</v>
      </c>
      <c r="C17" s="11" t="n">
        <v>1660</v>
      </c>
      <c r="D17" s="12" t="inlineStr">
        <is>
          <t>Supplier B 8.8% cheaper</t>
        </is>
      </c>
    </row>
    <row r="18" ht="14" customHeight="1">
      <c r="A18" s="7" t="inlineStr">
        <is>
          <t>Cetirizine HCl — base price (₹/kg)</t>
        </is>
      </c>
      <c r="B18" s="8" t="n">
        <v>960</v>
      </c>
      <c r="C18" s="8" t="n">
        <v>885</v>
      </c>
      <c r="D18" s="9" t="inlineStr">
        <is>
          <t>Supplier B 7.8% cheaper</t>
        </is>
      </c>
    </row>
    <row r="19" ht="14" customHeight="1">
      <c r="A19" s="10" t="inlineStr">
        <is>
          <t>Inward freight to Hyderabad plant (₹/kg)</t>
        </is>
      </c>
      <c r="B19" s="11" t="n">
        <v>18</v>
      </c>
      <c r="C19" s="11" t="n">
        <v>52</v>
      </c>
      <c r="D19" s="12" t="inlineStr">
        <is>
          <t>Supplier A local — same city. Supplier B: Ankleshwar→Hyderabad by road</t>
        </is>
      </c>
    </row>
    <row r="20" ht="14" customHeight="1">
      <c r="A20" s="7" t="inlineStr">
        <is>
          <t>QC testing &amp; incoming sampling (₹/kg)</t>
        </is>
      </c>
      <c r="B20" s="8" t="n">
        <v>22</v>
      </c>
      <c r="C20" s="8" t="n">
        <v>22</v>
      </c>
      <c r="D20" s="9" t="inlineStr">
        <is>
          <t>Uniform — Bobby Pharma internal QC team rate</t>
        </is>
      </c>
    </row>
    <row r="21" ht="14" customHeight="1">
      <c r="A21" s="10" t="inlineStr">
        <is>
          <t>Payment terms</t>
        </is>
      </c>
      <c r="B21" s="11" t="inlineStr">
        <is>
          <t>Net 30</t>
        </is>
      </c>
      <c r="C21" s="11" t="inlineStr">
        <is>
          <t>Net 21</t>
        </is>
      </c>
      <c r="D21" s="12" t="inlineStr">
        <is>
          <t>Supplier B tighter payment cycle</t>
        </is>
      </c>
    </row>
    <row r="22" ht="14" customHeight="1">
      <c r="A22" s="7" t="inlineStr">
        <is>
          <t>Lead time (days, PO to delivery)</t>
        </is>
      </c>
      <c r="B22" s="8" t="n">
        <v>8</v>
      </c>
      <c r="C22" s="8" t="n">
        <v>19</v>
      </c>
      <c r="D22" s="9" t="inlineStr">
        <is>
          <t>Supplier B interstate — 19 days road + transit buffer</t>
        </is>
      </c>
    </row>
    <row r="23" ht="14" customHeight="1">
      <c r="A23" s="10" t="inlineStr">
        <is>
          <t>CoA failure / OOS rate (FY24 data)</t>
        </is>
      </c>
      <c r="B23" s="11" t="inlineStr">
        <is>
          <t>0.9%</t>
        </is>
      </c>
      <c r="C23" s="11" t="inlineStr">
        <is>
          <t>2.8%</t>
        </is>
      </c>
      <c r="D23" s="12" t="inlineStr">
        <is>
          <t>Supplier A 5-yr avg. Supplier B: 14-month data only — 3 OOS incidents</t>
        </is>
      </c>
    </row>
    <row r="24" ht="14" customHeight="1">
      <c r="A24" s="7" t="inlineStr">
        <is>
          <t>MOQ (kg per order)</t>
        </is>
      </c>
      <c r="B24" s="8" t="n">
        <v>200</v>
      </c>
      <c r="C24" s="8" t="n">
        <v>500</v>
      </c>
      <c r="D24" s="9" t="inlineStr">
        <is>
          <t>Supplier B demands higher MOQ — inventory risk implication</t>
        </is>
      </c>
    </row>
    <row r="25" ht="6" customHeight="1"/>
    <row r="26" ht="16" customHeight="1">
      <c r="A26" s="5" t="inlineStr">
        <is>
          <t>SECTION C — FINANCIAL &amp; WORKING CAPITAL ASSUMPTIONS</t>
        </is>
      </c>
      <c r="B26" s="2" t="n"/>
      <c r="C26" s="2" t="n"/>
      <c r="D26" s="3" t="n"/>
    </row>
    <row r="27" ht="16" customHeight="1">
      <c r="A27" s="6" t="inlineStr">
        <is>
          <t>Parameter</t>
        </is>
      </c>
      <c r="B27" s="6" t="inlineStr">
        <is>
          <t>Value in Model</t>
        </is>
      </c>
      <c r="C27" s="6" t="inlineStr">
        <is>
          <t>Unit</t>
        </is>
      </c>
      <c r="D27" s="6" t="inlineStr">
        <is>
          <t>Note / Source</t>
        </is>
      </c>
    </row>
    <row r="28" ht="16" customHeight="1">
      <c r="A28" s="13" t="inlineStr">
        <is>
          <t>RBI Policy Repo Rate (WC financing benchmark)</t>
        </is>
      </c>
      <c r="B28" s="14" t="inlineStr">
        <is>
          <t>7.50%</t>
        </is>
      </c>
      <c r="C28" s="15" t="inlineStr">
        <is>
          <t>%</t>
        </is>
      </c>
      <c r="D28" s="16" t="inlineStr">
        <is>
          <t>Source: RBI — validate at rbi.org.in before use. This figure may be outdated.</t>
        </is>
      </c>
    </row>
    <row r="29" ht="14" customHeight="1">
      <c r="A29" s="7" t="inlineStr">
        <is>
          <t>Inventory carrying cost benchmark (% of landed cost p.a.)</t>
        </is>
      </c>
      <c r="B29" s="8" t="inlineStr">
        <is>
          <t>16%</t>
        </is>
      </c>
      <c r="C29" s="8" t="inlineStr">
        <is>
          <t>%</t>
        </is>
      </c>
      <c r="D29" s="9" t="inlineStr">
        <is>
          <t>ICRA Pharma Sector benchmarking, FY24 — includes warehousing, cold-chain, obsolescence</t>
        </is>
      </c>
    </row>
    <row r="30" ht="14" customHeight="1">
      <c r="A30" s="10" t="inlineStr">
        <is>
          <t>OOS / CoA failure cost per kg — rework + disposal + retest</t>
        </is>
      </c>
      <c r="B30" s="11" t="inlineStr">
        <is>
          <t>₹ 210</t>
        </is>
      </c>
      <c r="C30" s="11" t="inlineStr">
        <is>
          <t>₹/kg</t>
        </is>
      </c>
      <c r="D30" s="12" t="inlineStr">
        <is>
          <t>Internal QA cost accounting — FY24 actuals (Unit II, Hyderabad)</t>
        </is>
      </c>
    </row>
    <row r="31" ht="14" customHeight="1">
      <c r="A31" s="7" t="inlineStr">
        <is>
          <t>Working capital financing — Supplier A</t>
        </is>
      </c>
      <c r="B31" s="8" t="n">
        <v>30</v>
      </c>
      <c r="C31" s="8" t="inlineStr">
        <is>
          <t>days</t>
        </is>
      </c>
      <c r="D31" s="9" t="inlineStr">
        <is>
          <t>Net 30 payment terms per Shreya Life Sciences contract</t>
        </is>
      </c>
    </row>
    <row r="32" ht="14" customHeight="1">
      <c r="A32" s="10" t="inlineStr">
        <is>
          <t>Working capital financing — Supplier B</t>
        </is>
      </c>
      <c r="B32" s="11" t="n">
        <v>21</v>
      </c>
      <c r="C32" s="11" t="inlineStr">
        <is>
          <t>days</t>
        </is>
      </c>
      <c r="D32" s="12" t="inlineStr">
        <is>
          <t>Net 21 payment terms per Arjuna Pharma Chem quote</t>
        </is>
      </c>
    </row>
    <row r="33" ht="14" customHeight="1">
      <c r="A33" s="7" t="inlineStr">
        <is>
          <t>FX exposure</t>
        </is>
      </c>
      <c r="B33" s="8" t="inlineStr">
        <is>
          <t>NIL</t>
        </is>
      </c>
      <c r="C33" s="8" t="inlineStr">
        <is>
          <t>—</t>
        </is>
      </c>
      <c r="D33" s="9" t="inlineStr">
        <is>
          <t>Both suppliers quote and invoice in INR</t>
        </is>
      </c>
    </row>
    <row r="34" ht="14" customHeight="1">
      <c r="A34" s="10" t="inlineStr">
        <is>
          <t>Cold-chain storage surcharge (Atorvastatin, Amlodipine only)</t>
        </is>
      </c>
      <c r="B34" s="11" t="inlineStr">
        <is>
          <t>₹ 38</t>
        </is>
      </c>
      <c r="C34" s="11" t="inlineStr">
        <is>
          <t>₹/kg/month</t>
        </is>
      </c>
      <c r="D34" s="12" t="inlineStr">
        <is>
          <t>Internal cold-room cost — 2–8°C controlled storage</t>
        </is>
      </c>
    </row>
    <row r="35" ht="6" customHeight="1"/>
    <row r="36" ht="14" customHeight="1">
      <c r="A36" s="5" t="inlineStr">
        <is>
          <t>NOTES</t>
        </is>
      </c>
      <c r="B36" s="2" t="n"/>
      <c r="C36" s="2" t="n"/>
      <c r="D36" s="3" t="n"/>
    </row>
    <row r="37" ht="22" customHeight="1">
      <c r="A37" s="9" t="inlineStr">
        <is>
          <t>Note 1: All prices are ex-works, exclusive of GST. Applicable GST on APIs = 12% (CGST 6% + SGST 6%). Refer CBIC GST Rate Schedule for current rate before tax computation.</t>
        </is>
      </c>
      <c r="B37" s="2" t="n"/>
      <c r="C37" s="2" t="n"/>
      <c r="D37" s="3" t="n"/>
    </row>
    <row r="38" ht="22" customHeight="1">
      <c r="A38" s="12" t="inlineStr">
        <is>
          <t>Note 2: OOS rate for Supplier B is based on 14 months of trial supply data (Q2 FY24 to Q3 FY25). Supplier A OOS rate is a 5-year average (FY20–FY24). Treat Supplier B data as directional.</t>
        </is>
      </c>
      <c r="B38" s="2" t="n"/>
      <c r="C38" s="2" t="n"/>
      <c r="D38" s="3" t="n"/>
    </row>
    <row r="39" ht="22" customHeight="1">
      <c r="A39" s="9" t="inlineStr">
        <is>
          <t>Note 3: Cold-chain surcharge of ₹38/kg/month applies to Atorvastatin Calcium and Amlodipine Besylate only (temperature-sensitive molecules). Not applicable to other APIs in this study.</t>
        </is>
      </c>
      <c r="B39" s="2" t="n"/>
      <c r="C39" s="2" t="n"/>
      <c r="D39" s="3" t="n"/>
    </row>
    <row r="40" ht="22" customHeight="1">
      <c r="A40" s="12" t="inlineStr">
        <is>
          <t>Note 4: Working capital cost formula = Landed cost per kg × (Payment terms / 365) × RBI Repo Rate. The Repo Rate in Section C MUST be verified against the current RBI MPC publication at rbi.org.in before finalising any cost comparison. The value in this model is a draft placeholder from a prior version of this file.</t>
        </is>
      </c>
      <c r="B40" s="2" t="n"/>
      <c r="C40" s="2" t="n"/>
      <c r="D40" s="3" t="n"/>
    </row>
    <row r="41" ht="22" customHeight="1">
      <c r="A41" s="9" t="inlineStr">
        <is>
          <t>Note 5: Inventory carrying cost = Landed cost per kg × 16% × (Supplier lead time / 365). Lead time is the number of days from PO issuance to delivery at Hyderabad Unit II gate.</t>
        </is>
      </c>
      <c r="B41" s="2" t="n"/>
      <c r="C41" s="2" t="n"/>
      <c r="D41" s="3" t="n"/>
    </row>
  </sheetData>
  <mergeCells count="11">
    <mergeCell ref="A1:D1"/>
    <mergeCell ref="A37:D37"/>
    <mergeCell ref="A40:D40"/>
    <mergeCell ref="A12:D12"/>
    <mergeCell ref="A4:D4"/>
    <mergeCell ref="A26:D26"/>
    <mergeCell ref="A38:D38"/>
    <mergeCell ref="A39:D39"/>
    <mergeCell ref="A41:D41"/>
    <mergeCell ref="A2:D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0" customWidth="1" min="4" max="4"/>
  </cols>
  <sheetData>
    <row r="1" ht="22" customHeight="1">
      <c r="A1" s="1" t="inlineStr">
        <is>
          <t>PER-KG COST BUILD — DRAFT WORKING (uses rates from Inputs sheet)</t>
        </is>
      </c>
      <c r="B1" s="2" t="n"/>
      <c r="C1" s="2" t="n"/>
      <c r="D1" s="3" t="n"/>
    </row>
    <row r="2" ht="15" customHeight="1">
      <c r="A2" s="4" t="inlineStr">
        <is>
          <t>Working capital cost formula references Repo Rate in Inputs &amp; Assumptions — verify that rate before treating this as final</t>
        </is>
      </c>
      <c r="B2" s="2" t="n"/>
      <c r="C2" s="2" t="n"/>
      <c r="D2" s="3" t="n"/>
    </row>
    <row r="3" ht="6" customHeight="1"/>
    <row r="4" ht="28" customHeight="1">
      <c r="A4" s="6" t="inlineStr">
        <is>
          <t>Cost Line</t>
        </is>
      </c>
      <c r="B4" s="6" t="inlineStr">
        <is>
          <t>Supplier A
(Shreya Life Sciences)</t>
        </is>
      </c>
      <c r="C4" s="6" t="inlineStr">
        <is>
          <t>Supplier B
(Arjuna Pharma Chem)</t>
        </is>
      </c>
      <c r="D4" s="6" t="inlineStr">
        <is>
          <t>Note</t>
        </is>
      </c>
    </row>
    <row r="5" ht="14" customHeight="1">
      <c r="A5" s="17" t="inlineStr">
        <is>
          <t>── Metformin HCl — Illustrative Draft ──</t>
        </is>
      </c>
      <c r="B5" s="2" t="n"/>
      <c r="C5" s="2" t="n"/>
      <c r="D5" s="3" t="n"/>
    </row>
    <row r="6" ht="14" customHeight="1">
      <c r="A6" s="7" t="inlineStr">
        <is>
          <t>Base price (₹/kg)</t>
        </is>
      </c>
      <c r="B6" s="8" t="n">
        <v>148</v>
      </c>
      <c r="C6" s="8" t="n">
        <v>131</v>
      </c>
      <c r="D6" s="9" t="inlineStr">
        <is>
          <t>From Inputs sheet Section B</t>
        </is>
      </c>
    </row>
    <row r="7" ht="14" customHeight="1">
      <c r="A7" s="10" t="inlineStr">
        <is>
          <t>Inward freight (₹/kg)</t>
        </is>
      </c>
      <c r="B7" s="11" t="n">
        <v>18</v>
      </c>
      <c r="C7" s="11" t="n">
        <v>52</v>
      </c>
      <c r="D7" s="12" t="inlineStr">
        <is>
          <t>Same source</t>
        </is>
      </c>
    </row>
    <row r="8" ht="14" customHeight="1">
      <c r="A8" s="7" t="inlineStr">
        <is>
          <t>QC / incoming inspection (₹/kg)</t>
        </is>
      </c>
      <c r="B8" s="8" t="n">
        <v>22</v>
      </c>
      <c r="C8" s="8" t="n">
        <v>22</v>
      </c>
      <c r="D8" s="9" t="inlineStr">
        <is>
          <t>Uniform</t>
        </is>
      </c>
    </row>
    <row r="9" ht="14" customHeight="1">
      <c r="A9" s="10" t="inlineStr">
        <is>
          <t>Landed cost (₹/kg)</t>
        </is>
      </c>
      <c r="B9" s="11">
        <f>B6+B7+B8</f>
        <v/>
      </c>
      <c r="C9" s="11">
        <f>C6+C7+C8</f>
        <v/>
      </c>
      <c r="D9" s="12" t="inlineStr">
        <is>
          <t>Sum of above</t>
        </is>
      </c>
    </row>
    <row r="10" ht="14" customHeight="1">
      <c r="A10" s="7" t="inlineStr">
        <is>
          <t>OOS/CoA failure cost (₹/kg)</t>
        </is>
      </c>
      <c r="B10" s="8">
        <f>1*0.009*210</f>
        <v/>
      </c>
      <c r="C10" s="8">
        <f>1*0.028*210</f>
        <v/>
      </c>
      <c r="D10" s="9" t="inlineStr">
        <is>
          <t>Vol×OOS rate×₹210 per kg</t>
        </is>
      </c>
    </row>
    <row r="11" ht="14" customHeight="1">
      <c r="A11" s="10" t="inlineStr">
        <is>
          <t>WC financing cost (₹/kg)</t>
        </is>
      </c>
      <c r="B11" s="11">
        <f>B9*(30/365)*0.075</f>
        <v/>
      </c>
      <c r="C11" s="11">
        <f>C9*(21/365)*0.075</f>
        <v/>
      </c>
      <c r="D11" s="12" t="inlineStr">
        <is>
          <t>Uses 7.50% — VERIFY THIS RATE</t>
        </is>
      </c>
    </row>
    <row r="12" ht="14" customHeight="1">
      <c r="A12" s="7" t="inlineStr">
        <is>
          <t>Inventory carry cost (₹/kg)</t>
        </is>
      </c>
      <c r="B12" s="8">
        <f>B9*0.16*(8/365)</f>
        <v/>
      </c>
      <c r="C12" s="8">
        <f>C9*0.16*(19/365)</f>
        <v/>
      </c>
      <c r="D12" s="9" t="inlineStr">
        <is>
          <t>16% pa × lead time fraction</t>
        </is>
      </c>
    </row>
    <row r="13" ht="14" customHeight="1">
      <c r="A13" s="18" t="inlineStr">
        <is>
          <t>TOTAL EFFECTIVE COST (₹/kg)</t>
        </is>
      </c>
      <c r="B13" s="6">
        <f>SUM(B10:B13)</f>
        <v/>
      </c>
      <c r="C13" s="6">
        <f>SUM(C10:C13)</f>
        <v/>
      </c>
      <c r="D13" s="19" t="inlineStr">
        <is>
          <t>All-in per kg</t>
        </is>
      </c>
    </row>
    <row r="15" ht="28" customHeight="1">
      <c r="A15" s="16" t="inlineStr">
        <is>
          <t>NOTE: The WC financing rows above use 7.50% from the Inputs sheet. If the RBI rate has changed, these numbers are wrong. Do not use this sheet for the final recommendation without verifying the Repo Rate at rbi.org.in.</t>
        </is>
      </c>
      <c r="B15" s="2" t="n"/>
      <c r="C15" s="2" t="n"/>
      <c r="D15" s="3" t="n"/>
    </row>
  </sheetData>
  <mergeCells count="4">
    <mergeCell ref="A1:D1"/>
    <mergeCell ref="A5:D5"/>
    <mergeCell ref="A2:D2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</cols>
  <sheetData>
    <row r="1" ht="22" customHeight="1">
      <c r="A1" s="20" t="inlineStr">
        <is>
          <t>FY 2023-24 API PROCUREMENT ACTUALS — ARCHIVED  |  DO NOT USE IN CURRENT COST MODEL</t>
        </is>
      </c>
      <c r="B1" s="2" t="n"/>
      <c r="C1" s="2" t="n"/>
      <c r="D1" s="3" t="n"/>
    </row>
    <row r="2" ht="15" customHeight="1">
      <c r="A2" s="21" t="inlineStr">
        <is>
          <t>Historical reference only. Repo Rate applicable in FY24 was 6.50% — NOT to be used in FY25 model.</t>
        </is>
      </c>
      <c r="B2" s="2" t="n"/>
      <c r="C2" s="2" t="n"/>
      <c r="D2" s="3" t="n"/>
    </row>
    <row r="4" ht="16" customHeight="1">
      <c r="A4" s="6" t="inlineStr">
        <is>
          <t>Molecule</t>
        </is>
      </c>
      <c r="B4" s="6" t="inlineStr">
        <is>
          <t>FY24 Qty Procured (kg)</t>
        </is>
      </c>
      <c r="C4" s="6" t="inlineStr">
        <is>
          <t>FY24 Avg. Price (₹/kg)</t>
        </is>
      </c>
      <c r="D4" s="6" t="inlineStr">
        <is>
          <t>Supplier</t>
        </is>
      </c>
    </row>
    <row r="5" ht="14" customHeight="1">
      <c r="A5" s="7" t="inlineStr">
        <is>
          <t>Metformin HCl</t>
        </is>
      </c>
      <c r="B5" s="8" t="n">
        <v>8400</v>
      </c>
      <c r="C5" s="8" t="n">
        <v>152</v>
      </c>
      <c r="D5" s="22" t="inlineStr">
        <is>
          <t>Shreya Life Sciences</t>
        </is>
      </c>
    </row>
    <row r="6" ht="14" customHeight="1">
      <c r="A6" s="10" t="inlineStr">
        <is>
          <t>Atorvastatin Calcium</t>
        </is>
      </c>
      <c r="B6" s="11" t="n">
        <v>1180</v>
      </c>
      <c r="C6" s="11" t="n">
        <v>4820</v>
      </c>
      <c r="D6" s="23" t="inlineStr">
        <is>
          <t>Shreya Life Sciences</t>
        </is>
      </c>
    </row>
    <row r="7" ht="14" customHeight="1">
      <c r="A7" s="7" t="inlineStr">
        <is>
          <t>Amlodipine Besylate</t>
        </is>
      </c>
      <c r="B7" s="8" t="n">
        <v>270</v>
      </c>
      <c r="C7" s="8" t="n">
        <v>7480</v>
      </c>
      <c r="D7" s="22" t="inlineStr">
        <is>
          <t>Shreya Life Sciences</t>
        </is>
      </c>
    </row>
    <row r="8" ht="14" customHeight="1">
      <c r="A8" s="10" t="inlineStr">
        <is>
          <t>Pantoprazole Sodium</t>
        </is>
      </c>
      <c r="B8" s="11" t="n">
        <v>1980</v>
      </c>
      <c r="C8" s="11" t="n">
        <v>1890</v>
      </c>
      <c r="D8" s="23" t="inlineStr">
        <is>
          <t>Shreya Life Sciences</t>
        </is>
      </c>
    </row>
    <row r="9" ht="14" customHeight="1">
      <c r="A9" s="7" t="inlineStr">
        <is>
          <t>Cetirizine HCl</t>
        </is>
      </c>
      <c r="B9" s="8" t="n">
        <v>640</v>
      </c>
      <c r="C9" s="8" t="n">
        <v>1010</v>
      </c>
      <c r="D9" s="22" t="inlineStr">
        <is>
          <t>Shreya Life Sciences</t>
        </is>
      </c>
    </row>
    <row r="10" ht="14" customHeight="1">
      <c r="A10" s="10" t="inlineStr">
        <is>
          <t>Metformin HCl — Arjuna trial (Q4 FY24)</t>
        </is>
      </c>
      <c r="B10" s="11" t="n">
        <v>800</v>
      </c>
      <c r="C10" s="11" t="n">
        <v>134</v>
      </c>
      <c r="D10" s="23" t="inlineStr">
        <is>
          <t>Arjuna Pharma Chem (trial)</t>
        </is>
      </c>
    </row>
    <row r="12" ht="20" customHeight="1">
      <c r="A12" s="16" t="inlineStr">
        <is>
          <t>Repo Rate used in FY24 working capital calculations: 6.50%. Do not carry this rate into the FY25 model. Verify current rate at rbi.org.in.</t>
        </is>
      </c>
      <c r="B12" s="2" t="n"/>
      <c r="C12" s="2" t="n"/>
      <c r="D12" s="3" t="n"/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2026-04-27T11:33:19Z</dcterms:created>
  <dcterms:modified xmlns:dcterms="http://purl.org/dc/terms/" xmlns:xsi="http://www.w3.org/2001/XMLSchema-instance" xsi:type="dcterms:W3CDTF">2026-04-27T11:33:19Z</dcterms:modified>
</cp:coreProperties>
</file>