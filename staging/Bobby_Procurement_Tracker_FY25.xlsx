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5 Procure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color rgb="00000000"/>
      <sz val="9"/>
    </font>
    <font>
      <name val="Calibri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2B5F8E"/>
      </patternFill>
    </fill>
    <fill>
      <patternFill patternType="solid">
        <fgColor rgb="00D9E8F5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4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2" customHeight="1">
      <c r="A1" s="1" t="inlineStr">
        <is>
          <t>BOBBY PHARMA PRODUCTS PVT. LTD. — FY 2024-25 PROCUREMENT SPEND TRACKER (ALL CATEGORIES)</t>
        </is>
      </c>
      <c r="B1" s="2" t="n"/>
      <c r="C1" s="2" t="n"/>
      <c r="D1" s="2" t="n"/>
      <c r="E1" s="2" t="n"/>
      <c r="F1" s="2" t="n"/>
      <c r="G1" s="2" t="n"/>
      <c r="H1" s="3" t="n"/>
    </row>
    <row r="2" ht="15" customHeight="1">
      <c r="A2" s="4" t="inlineStr">
        <is>
          <t>Values in ₹ Lakh  |  Q4 = estimates  |  Finance sign-off pending  |  Updated: Feb 2025</t>
        </is>
      </c>
      <c r="B2" s="2" t="n"/>
      <c r="C2" s="2" t="n"/>
      <c r="D2" s="2" t="n"/>
      <c r="E2" s="2" t="n"/>
      <c r="F2" s="2" t="n"/>
      <c r="G2" s="2" t="n"/>
      <c r="H2" s="3" t="n"/>
    </row>
    <row r="3" ht="6" customHeight="1"/>
    <row r="4" ht="28" customHeight="1">
      <c r="A4" s="5" t="inlineStr">
        <is>
          <t>#</t>
        </is>
      </c>
      <c r="B4" s="5" t="inlineStr">
        <is>
          <t>Category</t>
        </is>
      </c>
      <c r="C4" s="5" t="inlineStr">
        <is>
          <t>Primary Vendor(s)</t>
        </is>
      </c>
      <c r="D4" s="5" t="inlineStr">
        <is>
          <t>Q1</t>
        </is>
      </c>
      <c r="E4" s="5" t="inlineStr">
        <is>
          <t>Q2</t>
        </is>
      </c>
      <c r="F4" s="5" t="inlineStr">
        <is>
          <t>Q3</t>
        </is>
      </c>
      <c r="G4" s="5" t="inlineStr">
        <is>
          <t>Q4
(Est.)</t>
        </is>
      </c>
      <c r="H4" s="5" t="inlineStr">
        <is>
          <t>Annual
Total</t>
        </is>
      </c>
    </row>
    <row r="5" ht="14" customHeight="1">
      <c r="A5" s="6" t="n">
        <v>1</v>
      </c>
      <c r="B5" s="7" t="inlineStr">
        <is>
          <t>APIs — Supplier A (Shreya Life Sciences)</t>
        </is>
      </c>
      <c r="C5" s="8" t="inlineStr">
        <is>
          <t>Shreya Life Sciences, Hyd</t>
        </is>
      </c>
      <c r="D5" s="9" t="n">
        <v>28.4</v>
      </c>
      <c r="E5" s="9" t="n">
        <v>31.2</v>
      </c>
      <c r="F5" s="9" t="n">
        <v>33.6</v>
      </c>
      <c r="G5" s="9" t="n">
        <v>29.8</v>
      </c>
      <c r="H5" s="9" t="n">
        <v>123</v>
      </c>
    </row>
    <row r="6" ht="14" customHeight="1">
      <c r="A6" s="6" t="n">
        <v>2</v>
      </c>
      <c r="B6" s="7" t="inlineStr">
        <is>
          <t>APIs — Supplier B trial (Arjuna Pharma)</t>
        </is>
      </c>
      <c r="C6" s="8" t="inlineStr">
        <is>
          <t>Arjuna Pharma Chem, Ankl.</t>
        </is>
      </c>
      <c r="D6" s="9" t="n">
        <v>0</v>
      </c>
      <c r="E6" s="9" t="n">
        <v>0</v>
      </c>
      <c r="F6" s="9" t="n">
        <v>11.4</v>
      </c>
      <c r="G6" s="9" t="n">
        <v>0</v>
      </c>
      <c r="H6" s="9" t="n">
        <v>11.4</v>
      </c>
    </row>
    <row r="7" ht="14" customHeight="1">
      <c r="A7" s="10" t="n">
        <v>3</v>
      </c>
      <c r="B7" s="11" t="inlineStr">
        <is>
          <t>Excipients &amp; Binders</t>
        </is>
      </c>
      <c r="C7" s="12" t="inlineStr">
        <is>
          <t>Multiple — Hyderabad market</t>
        </is>
      </c>
      <c r="D7" s="13" t="n">
        <v>8.199999999999999</v>
      </c>
      <c r="E7" s="13" t="n">
        <v>9.1</v>
      </c>
      <c r="F7" s="13" t="n">
        <v>9.800000000000001</v>
      </c>
      <c r="G7" s="13" t="n">
        <v>8.6</v>
      </c>
      <c r="H7" s="13" t="n">
        <v>35.7</v>
      </c>
    </row>
    <row r="8" ht="14" customHeight="1">
      <c r="A8" s="14" t="n">
        <v>4</v>
      </c>
      <c r="B8" s="15" t="inlineStr">
        <is>
          <t>Primary Packaging — Blister PVC/PVDC</t>
        </is>
      </c>
      <c r="C8" s="16" t="inlineStr">
        <is>
          <t>Cosmo Films / Uflex</t>
        </is>
      </c>
      <c r="D8" s="17" t="n">
        <v>6.4</v>
      </c>
      <c r="E8" s="17" t="n">
        <v>7.2</v>
      </c>
      <c r="F8" s="17" t="n">
        <v>7.8</v>
      </c>
      <c r="G8" s="17" t="n">
        <v>6.9</v>
      </c>
      <c r="H8" s="17" t="n">
        <v>28.3</v>
      </c>
    </row>
    <row r="9" ht="14" customHeight="1">
      <c r="A9" s="10" t="n">
        <v>5</v>
      </c>
      <c r="B9" s="11" t="inlineStr">
        <is>
          <t>Primary Packaging — HDPE Bottles</t>
        </is>
      </c>
      <c r="C9" s="12" t="inlineStr">
        <is>
          <t>Manjushree Technopack</t>
        </is>
      </c>
      <c r="D9" s="13" t="n">
        <v>3.1</v>
      </c>
      <c r="E9" s="13" t="n">
        <v>3.4</v>
      </c>
      <c r="F9" s="13" t="n">
        <v>3.8</v>
      </c>
      <c r="G9" s="13" t="n">
        <v>3.2</v>
      </c>
      <c r="H9" s="13" t="n">
        <v>13.5</v>
      </c>
    </row>
    <row r="10" ht="14" customHeight="1">
      <c r="A10" s="14" t="n">
        <v>6</v>
      </c>
      <c r="B10" s="15" t="inlineStr">
        <is>
          <t>Secondary Packaging — Cartons &amp; Shipper</t>
        </is>
      </c>
      <c r="C10" s="16" t="inlineStr">
        <is>
          <t>Hyderabad Paper Products</t>
        </is>
      </c>
      <c r="D10" s="17" t="n">
        <v>2.2</v>
      </c>
      <c r="E10" s="17" t="n">
        <v>2.4</v>
      </c>
      <c r="F10" s="17" t="n">
        <v>2.7</v>
      </c>
      <c r="G10" s="17" t="n">
        <v>2.3</v>
      </c>
      <c r="H10" s="17" t="n">
        <v>9.6</v>
      </c>
    </row>
    <row r="11" ht="14" customHeight="1">
      <c r="A11" s="10" t="n">
        <v>7</v>
      </c>
      <c r="B11" s="11" t="inlineStr">
        <is>
          <t>Printed Leaflets &amp; Labels</t>
        </is>
      </c>
      <c r="C11" s="12" t="inlineStr">
        <is>
          <t>Pragati Printers, Hyd</t>
        </is>
      </c>
      <c r="D11" s="13" t="n">
        <v>0.8</v>
      </c>
      <c r="E11" s="13" t="n">
        <v>0.9</v>
      </c>
      <c r="F11" s="13" t="n">
        <v>1.1</v>
      </c>
      <c r="G11" s="13" t="n">
        <v>0.9</v>
      </c>
      <c r="H11" s="13" t="n">
        <v>3.7</v>
      </c>
    </row>
    <row r="12" ht="14" customHeight="1">
      <c r="A12" s="14" t="n">
        <v>8</v>
      </c>
      <c r="B12" s="15" t="inlineStr">
        <is>
          <t>Solvents &amp; Reagents (QC Lab)</t>
        </is>
      </c>
      <c r="C12" s="16" t="inlineStr">
        <is>
          <t>Merck / Finar Chemical</t>
        </is>
      </c>
      <c r="D12" s="17" t="n">
        <v>1.4</v>
      </c>
      <c r="E12" s="17" t="n">
        <v>1.6</v>
      </c>
      <c r="F12" s="17" t="n">
        <v>1.7</v>
      </c>
      <c r="G12" s="17" t="n">
        <v>1.5</v>
      </c>
      <c r="H12" s="17" t="n">
        <v>6.2</v>
      </c>
    </row>
    <row r="13" ht="14" customHeight="1">
      <c r="A13" s="10" t="n">
        <v>9</v>
      </c>
      <c r="B13" s="11" t="inlineStr">
        <is>
          <t>Plant Maintenance &amp; Spares</t>
        </is>
      </c>
      <c r="C13" s="12" t="inlineStr">
        <is>
          <t>Various local vendors</t>
        </is>
      </c>
      <c r="D13" s="13" t="n">
        <v>2.6</v>
      </c>
      <c r="E13" s="13" t="n">
        <v>3.1</v>
      </c>
      <c r="F13" s="13" t="n">
        <v>4.2</v>
      </c>
      <c r="G13" s="13" t="n">
        <v>2.8</v>
      </c>
      <c r="H13" s="13" t="n">
        <v>12.7</v>
      </c>
    </row>
    <row r="14" ht="14" customHeight="1">
      <c r="A14" s="14" t="n">
        <v>10</v>
      </c>
      <c r="B14" s="15" t="inlineStr">
        <is>
          <t>Logistics &amp; CFA Charges</t>
        </is>
      </c>
      <c r="C14" s="16" t="inlineStr">
        <is>
          <t>VRL Logistics / local CFA</t>
        </is>
      </c>
      <c r="D14" s="17" t="n">
        <v>3.8</v>
      </c>
      <c r="E14" s="17" t="n">
        <v>4.2</v>
      </c>
      <c r="F14" s="17" t="n">
        <v>4.6</v>
      </c>
      <c r="G14" s="17" t="n">
        <v>4.1</v>
      </c>
      <c r="H14" s="17" t="n">
        <v>16.7</v>
      </c>
    </row>
    <row r="15" ht="14" customHeight="1">
      <c r="A15" s="10" t="n">
        <v>11</v>
      </c>
      <c r="B15" s="11" t="inlineStr">
        <is>
          <t>Cold-chain courier (temperature-sensitive)</t>
        </is>
      </c>
      <c r="C15" s="12" t="inlineStr">
        <is>
          <t>Snowman / Patel Logist.</t>
        </is>
      </c>
      <c r="D15" s="13" t="n">
        <v>0.6</v>
      </c>
      <c r="E15" s="13" t="n">
        <v>0.7</v>
      </c>
      <c r="F15" s="13" t="n">
        <v>0.8</v>
      </c>
      <c r="G15" s="13" t="n">
        <v>0.7</v>
      </c>
      <c r="H15" s="13" t="n">
        <v>2.8</v>
      </c>
    </row>
    <row r="16" ht="14" customHeight="1">
      <c r="A16" s="14" t="n">
        <v>12</v>
      </c>
      <c r="B16" s="15" t="inlineStr">
        <is>
          <t>Miscellaneous &amp; Consumables</t>
        </is>
      </c>
      <c r="C16" s="16" t="inlineStr">
        <is>
          <t>Various</t>
        </is>
      </c>
      <c r="D16" s="17" t="n">
        <v>1.2</v>
      </c>
      <c r="E16" s="17" t="n">
        <v>1.4</v>
      </c>
      <c r="F16" s="17" t="n">
        <v>1.6</v>
      </c>
      <c r="G16" s="17" t="n">
        <v>1.3</v>
      </c>
      <c r="H16" s="17" t="n">
        <v>5.499999999999999</v>
      </c>
    </row>
    <row r="17" ht="16" customHeight="1">
      <c r="A17" s="18" t="inlineStr"/>
      <c r="B17" s="19" t="inlineStr">
        <is>
          <t>GRAND TOTAL</t>
        </is>
      </c>
      <c r="C17" s="18" t="inlineStr"/>
      <c r="D17" s="20">
        <f>SUM(D5:D16)</f>
        <v/>
      </c>
      <c r="E17" s="20">
        <f>SUM(E5:E16)</f>
        <v/>
      </c>
      <c r="F17" s="20">
        <f>SUM(F5:F16)</f>
        <v/>
      </c>
      <c r="G17" s="20">
        <f>SUM(G5:G16)</f>
        <v/>
      </c>
      <c r="H17" s="20">
        <f>SUM(H5:H16)</f>
        <v/>
      </c>
    </row>
    <row r="19" ht="20" customHeight="1">
      <c r="A19" s="12" t="inlineStr">
        <is>
          <t>Highlighted rows (blue) = APIs — subject of current vendor evaluation. All other rows are for Finance review only. Do not use this tracker's aggregate figures in the API cost model.</t>
        </is>
      </c>
      <c r="B19" s="2" t="n"/>
      <c r="C19" s="2" t="n"/>
      <c r="D19" s="2" t="n"/>
      <c r="E19" s="2" t="n"/>
      <c r="F19" s="2" t="n"/>
      <c r="G19" s="2" t="n"/>
      <c r="H19" s="3" t="n"/>
    </row>
  </sheetData>
  <mergeCells count="3">
    <mergeCell ref="A19:H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2026-04-27T11:33:19Z</dcterms:created>
  <dcterms:modified xmlns:dcterms="http://purl.org/dc/terms/" xmlns:xsi="http://www.w3.org/2001/XMLSchema-instance" xsi:type="dcterms:W3CDTF">2026-04-27T11:33:19Z</dcterms:modified>
</cp:coreProperties>
</file>