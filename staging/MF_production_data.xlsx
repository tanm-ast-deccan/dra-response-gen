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6som\Downloads\files (1)\"/>
    </mc:Choice>
  </mc:AlternateContent>
  <xr:revisionPtr revIDLastSave="0" documentId="13_ncr:1_{C66E0DE3-574F-494A-8672-9B01D6DAB53E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Monthly_Output_Log" sheetId="2" r:id="rId1"/>
    <sheet name="Cycle_Time_Observations" sheetId="1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2" l="1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</calcChain>
</file>

<file path=xl/sharedStrings.xml><?xml version="1.0" encoding="utf-8"?>
<sst xmlns="http://schemas.openxmlformats.org/spreadsheetml/2006/main" count="40" uniqueCount="39">
  <si>
    <t>MediForm Inc. — Production Line Cycle Time Log (Minutes per Unit)</t>
  </si>
  <si>
    <t>Recorded: Q1 2026   |   Shift: Day Shift (08:00–16:00)   |   Line: Clean Room Line 1</t>
  </si>
  <si>
    <t>Stage</t>
  </si>
  <si>
    <t>Obs 1</t>
  </si>
  <si>
    <t>Obs 2</t>
  </si>
  <si>
    <t>Obs 3</t>
  </si>
  <si>
    <t>Obs 4</t>
  </si>
  <si>
    <t>Obs 5</t>
  </si>
  <si>
    <t>Notes</t>
  </si>
  <si>
    <t>Component Assembly</t>
  </si>
  <si>
    <t>Prep + sub-assembly of barrel, plunger, needle</t>
  </si>
  <si>
    <t>Filling &amp; Crimping</t>
  </si>
  <si>
    <t>Saline fill + aluminium crimp seal</t>
  </si>
  <si>
    <t>Sterilization</t>
  </si>
  <si>
    <t>Final Inspection &amp; Labeling</t>
  </si>
  <si>
    <t>AQL visual check + label application</t>
  </si>
  <si>
    <t>MediForm Inc. — Monthly Production Output Log (Units)</t>
  </si>
  <si>
    <t>FY2025 Actuals   |   Clean Room Line 1   |   Day Shift Only</t>
  </si>
  <si>
    <t>Month</t>
  </si>
  <si>
    <t>Actual Units Produced</t>
  </si>
  <si>
    <t>Theoretical Capacity</t>
  </si>
  <si>
    <t>Utilization %</t>
  </si>
  <si>
    <t>Jan-25</t>
  </si>
  <si>
    <t>Feb-25</t>
  </si>
  <si>
    <t>Mar-25</t>
  </si>
  <si>
    <t>Minor autoclave delay</t>
  </si>
  <si>
    <t>Apr-25</t>
  </si>
  <si>
    <t>May-25</t>
  </si>
  <si>
    <t>Jun-25</t>
  </si>
  <si>
    <t>Planned maintenance -1 day</t>
  </si>
  <si>
    <t>Jul-25</t>
  </si>
  <si>
    <t>Aug-25</t>
  </si>
  <si>
    <t>Temp sensor recalibration</t>
  </si>
  <si>
    <t>Sep-25</t>
  </si>
  <si>
    <t>Oct-25</t>
  </si>
  <si>
    <t>Nov-25</t>
  </si>
  <si>
    <t>Dec-25</t>
  </si>
  <si>
    <t>Year-end audit -0.5 day</t>
  </si>
  <si>
    <t>autoclave cycle, batch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</si>
</sst>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7F4F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F2F7FC"/>
      </patternFill>
    </fill>
    <fill>
      <patternFill patternType="solid">
        <fgColor rgb="FF1F4E79"/>
        <bgColor rgb="FF003366"/>
      </patternFill>
    </fill>
    <fill>
      <patternFill patternType="solid">
        <fgColor rgb="FFF2F7FC"/>
        <bgColor rgb="FFFFFFFF"/>
      </patternFill>
    </fill>
    <fill>
      <patternFill patternType="solid">
        <fgColor rgb="FFFFFFFF"/>
        <bgColor rgb="FFF2F7FC"/>
      </patternFill>
    </fill>
    <fill>
      <patternFill patternType="solid">
        <fgColor rgb="FFFFF2CC"/>
        <bgColor rgb="FFF2F7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7FC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F4F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>
      <selection activeCell="J11" sqref="J11"/>
    </sheetView>
  </sheetViews>
  <sheetFormatPr defaultColWidth="8.7109375" defaultRowHeight="15" x14ac:dyDescent="0.25"/>
  <cols>
    <col min="1" max="1" width="12" customWidth="1"/>
    <col min="2" max="3" width="22" customWidth="1"/>
    <col min="4" max="4" width="14" customWidth="1"/>
    <col min="5" max="5" width="34" customWidth="1"/>
  </cols>
  <sheetData>
    <row r="1" spans="1:5" ht="27.75" customHeight="1" x14ac:dyDescent="0.25">
      <c r="A1" s="2" t="s">
        <v>16</v>
      </c>
      <c r="B1" s="2"/>
      <c r="C1" s="2"/>
      <c r="D1" s="2"/>
      <c r="E1" s="2"/>
    </row>
    <row r="2" spans="1:5" ht="15.75" customHeight="1" x14ac:dyDescent="0.25">
      <c r="A2" s="1" t="s">
        <v>17</v>
      </c>
      <c r="B2" s="1"/>
      <c r="C2" s="1"/>
      <c r="D2" s="1"/>
      <c r="E2" s="1"/>
    </row>
    <row r="3" spans="1:5" ht="30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8</v>
      </c>
    </row>
    <row r="4" spans="1:5" ht="16.5" customHeight="1" x14ac:dyDescent="0.25">
      <c r="A4" s="6" t="s">
        <v>22</v>
      </c>
      <c r="B4" s="5">
        <v>242</v>
      </c>
      <c r="C4" s="5">
        <f>ROUND(1/39*60*8*21,0)</f>
        <v>258</v>
      </c>
      <c r="D4" s="12">
        <f>B4/C4</f>
        <v>0.93798449612403101</v>
      </c>
      <c r="E4" s="6"/>
    </row>
    <row r="5" spans="1:5" ht="16.5" customHeight="1" x14ac:dyDescent="0.25">
      <c r="A5" s="9" t="s">
        <v>23</v>
      </c>
      <c r="B5" s="8">
        <v>231</v>
      </c>
      <c r="C5" s="8">
        <f>ROUND(1/39*60*8*21,0)</f>
        <v>258</v>
      </c>
      <c r="D5" s="13">
        <f>B5/C5</f>
        <v>0.89534883720930236</v>
      </c>
      <c r="E5" s="9"/>
    </row>
    <row r="6" spans="1:5" ht="16.5" customHeight="1" x14ac:dyDescent="0.25">
      <c r="A6" s="6" t="s">
        <v>24</v>
      </c>
      <c r="B6" s="5">
        <v>258</v>
      </c>
      <c r="C6" s="5">
        <f>ROUND(1/39*60*8*21,0)</f>
        <v>258</v>
      </c>
      <c r="D6" s="12">
        <f>B6/C6</f>
        <v>1</v>
      </c>
      <c r="E6" s="6" t="s">
        <v>25</v>
      </c>
    </row>
    <row r="7" spans="1:5" ht="16.5" customHeight="1" x14ac:dyDescent="0.25">
      <c r="A7" s="9" t="s">
        <v>26</v>
      </c>
      <c r="B7" s="8">
        <v>247</v>
      </c>
      <c r="C7" s="8">
        <f>ROUND(1/39*60*8*21,0)</f>
        <v>258</v>
      </c>
      <c r="D7" s="13">
        <f>B7/C7</f>
        <v>0.95736434108527135</v>
      </c>
      <c r="E7" s="9"/>
    </row>
    <row r="8" spans="1:5" ht="16.5" customHeight="1" x14ac:dyDescent="0.25">
      <c r="A8" s="6" t="s">
        <v>27</v>
      </c>
      <c r="B8" s="5">
        <v>239</v>
      </c>
      <c r="C8" s="5">
        <f>ROUND(1/39*60*8*21,0)</f>
        <v>258</v>
      </c>
      <c r="D8" s="12">
        <f>B8/C8</f>
        <v>0.9263565891472868</v>
      </c>
      <c r="E8" s="6"/>
    </row>
    <row r="9" spans="1:5" ht="16.5" customHeight="1" x14ac:dyDescent="0.25">
      <c r="A9" s="9" t="s">
        <v>28</v>
      </c>
      <c r="B9" s="8">
        <v>251</v>
      </c>
      <c r="C9" s="8">
        <f>ROUND(1/39*60*8*21,0)</f>
        <v>258</v>
      </c>
      <c r="D9" s="13">
        <f>B9/C9</f>
        <v>0.97286821705426352</v>
      </c>
      <c r="E9" s="9" t="s">
        <v>29</v>
      </c>
    </row>
    <row r="10" spans="1:5" ht="16.5" customHeight="1" x14ac:dyDescent="0.25">
      <c r="A10" s="6" t="s">
        <v>30</v>
      </c>
      <c r="B10" s="5">
        <v>261</v>
      </c>
      <c r="C10" s="5">
        <f>ROUND(1/39*60*8*21,0)</f>
        <v>258</v>
      </c>
      <c r="D10" s="12">
        <f>B10/C10</f>
        <v>1.0116279069767442</v>
      </c>
      <c r="E10" s="6"/>
    </row>
    <row r="11" spans="1:5" ht="16.5" customHeight="1" x14ac:dyDescent="0.25">
      <c r="A11" s="9" t="s">
        <v>31</v>
      </c>
      <c r="B11" s="8">
        <v>236</v>
      </c>
      <c r="C11" s="8">
        <f>ROUND(1/39*60*8*21,0)</f>
        <v>258</v>
      </c>
      <c r="D11" s="13">
        <f>B11/C11</f>
        <v>0.9147286821705426</v>
      </c>
      <c r="E11" s="9" t="s">
        <v>32</v>
      </c>
    </row>
    <row r="12" spans="1:5" ht="16.5" customHeight="1" x14ac:dyDescent="0.25">
      <c r="A12" s="6" t="s">
        <v>33</v>
      </c>
      <c r="B12" s="5">
        <v>244</v>
      </c>
      <c r="C12" s="5">
        <f>ROUND(1/39*60*8*21,0)</f>
        <v>258</v>
      </c>
      <c r="D12" s="12">
        <f>B12/C12</f>
        <v>0.94573643410852715</v>
      </c>
      <c r="E12" s="6"/>
    </row>
    <row r="13" spans="1:5" ht="16.5" customHeight="1" x14ac:dyDescent="0.25">
      <c r="A13" s="9" t="s">
        <v>34</v>
      </c>
      <c r="B13" s="8">
        <v>249</v>
      </c>
      <c r="C13" s="8">
        <f>ROUND(1/39*60*8*21,0)</f>
        <v>258</v>
      </c>
      <c r="D13" s="13">
        <f>B13/C13</f>
        <v>0.96511627906976749</v>
      </c>
      <c r="E13" s="9"/>
    </row>
    <row r="14" spans="1:5" ht="16.5" customHeight="1" x14ac:dyDescent="0.25">
      <c r="A14" s="6" t="s">
        <v>35</v>
      </c>
      <c r="B14" s="5">
        <v>255</v>
      </c>
      <c r="C14" s="5">
        <f>ROUND(1/39*60*8*21,0)</f>
        <v>258</v>
      </c>
      <c r="D14" s="12">
        <f>B14/C14</f>
        <v>0.98837209302325579</v>
      </c>
      <c r="E14" s="6"/>
    </row>
    <row r="15" spans="1:5" ht="16.5" customHeight="1" x14ac:dyDescent="0.25">
      <c r="A15" s="9" t="s">
        <v>36</v>
      </c>
      <c r="B15" s="8">
        <v>240</v>
      </c>
      <c r="C15" s="8">
        <f>ROUND(1/39*60*8*21,0)</f>
        <v>258</v>
      </c>
      <c r="D15" s="13">
        <f>B15/C15</f>
        <v>0.93023255813953487</v>
      </c>
      <c r="E15" s="9" t="s">
        <v>37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G14" sqref="G14"/>
    </sheetView>
  </sheetViews>
  <sheetFormatPr defaultColWidth="8.7109375" defaultRowHeight="15" x14ac:dyDescent="0.25"/>
  <cols>
    <col min="1" max="1" width="28" customWidth="1"/>
    <col min="2" max="2" width="19.140625" customWidth="1"/>
    <col min="3" max="6" width="10" customWidth="1"/>
    <col min="7" max="7" width="52.5703125" customWidth="1"/>
  </cols>
  <sheetData>
    <row r="1" spans="1:7" ht="27.7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7" ht="21.7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18" customHeight="1" x14ac:dyDescent="0.25">
      <c r="A4" s="4" t="s">
        <v>9</v>
      </c>
      <c r="B4" s="5">
        <v>9</v>
      </c>
      <c r="C4" s="5">
        <v>10</v>
      </c>
      <c r="D4" s="5">
        <v>8</v>
      </c>
      <c r="E4" s="5">
        <v>9</v>
      </c>
      <c r="F4" s="5">
        <v>10</v>
      </c>
      <c r="G4" s="6" t="s">
        <v>10</v>
      </c>
    </row>
    <row r="5" spans="1:7" ht="18" customHeight="1" x14ac:dyDescent="0.25">
      <c r="A5" s="7" t="s">
        <v>11</v>
      </c>
      <c r="B5" s="8">
        <v>14</v>
      </c>
      <c r="C5" s="8">
        <v>13</v>
      </c>
      <c r="D5" s="8">
        <v>15</v>
      </c>
      <c r="E5" s="8">
        <v>14</v>
      </c>
      <c r="F5" s="8">
        <v>14</v>
      </c>
      <c r="G5" s="9" t="s">
        <v>12</v>
      </c>
    </row>
    <row r="6" spans="1:7" ht="18" customHeight="1" x14ac:dyDescent="0.25">
      <c r="A6" s="10" t="s">
        <v>13</v>
      </c>
      <c r="B6" s="11">
        <v>38</v>
      </c>
      <c r="C6" s="11">
        <v>41</v>
      </c>
      <c r="D6" s="11">
        <v>37</v>
      </c>
      <c r="E6" s="11">
        <v>40</v>
      </c>
      <c r="F6" s="11">
        <v>39</v>
      </c>
      <c r="G6" s="10" t="s">
        <v>38</v>
      </c>
    </row>
    <row r="7" spans="1:7" ht="18" customHeight="1" x14ac:dyDescent="0.25">
      <c r="A7" s="7" t="s">
        <v>14</v>
      </c>
      <c r="B7" s="8">
        <v>10</v>
      </c>
      <c r="C7" s="8">
        <v>11</v>
      </c>
      <c r="D7" s="8">
        <v>10</v>
      </c>
      <c r="E7" s="8">
        <v>9</v>
      </c>
      <c r="F7" s="8">
        <v>10</v>
      </c>
      <c r="G7" s="9" t="s">
        <v>15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Monthly_Output_Log</vt:lpstr>
      <vt:lpstr>Cycle_Time_Observations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Somya Gupta</cp:lastModifiedBy>
  <cp:revision>0</cp:revision>
  <dcterms:created xsi:type="dcterms:W3CDTF">2026-02-25T13:37:52Z</dcterms:created>
  <dcterms:modified xsi:type="dcterms:W3CDTF">2026-02-25T14:43:03Z</dcterms:modified>
  <dc:language>en-US</dc:language>
</cp:coreProperties>
</file>