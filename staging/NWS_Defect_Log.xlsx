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6som\Downloads\"/>
    </mc:Choice>
  </mc:AlternateContent>
  <xr:revisionPtr revIDLastSave="0" documentId="8_{20719387-2FBB-4F43-AA3E-9BE5715248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ect Log" sheetId="1" r:id="rId1"/>
  </sheets>
  <definedNames>
    <definedName name="_xlnm._FilterDatabase" localSheetId="0" hidden="1">'Defect Log'!$A$1:$U$41</definedName>
  </definedNames>
  <calcPr calcId="191029"/>
</workbook>
</file>

<file path=xl/calcChain.xml><?xml version="1.0" encoding="utf-8"?>
<calcChain xmlns="http://schemas.openxmlformats.org/spreadsheetml/2006/main">
  <c r="J37" i="1" l="1"/>
  <c r="P37" i="1"/>
  <c r="Q37" i="1"/>
  <c r="I37" i="1"/>
  <c r="J38" i="1" s="1"/>
</calcChain>
</file>

<file path=xl/sharedStrings.xml><?xml version="1.0" encoding="utf-8"?>
<sst xmlns="http://schemas.openxmlformats.org/spreadsheetml/2006/main" count="409" uniqueCount="189">
  <si>
    <t>Defect ID</t>
  </si>
  <si>
    <t>Date</t>
  </si>
  <si>
    <t>Batch ID</t>
  </si>
  <si>
    <t>Line</t>
  </si>
  <si>
    <t>Stage</t>
  </si>
  <si>
    <t>Machine ID</t>
  </si>
  <si>
    <t>Defect Type</t>
  </si>
  <si>
    <t>Defect Category</t>
  </si>
  <si>
    <t>Units Inspected</t>
  </si>
  <si>
    <t>Units Defective</t>
  </si>
  <si>
    <t>Defect Rate (%)</t>
  </si>
  <si>
    <t>Alloy Used (g)</t>
  </si>
  <si>
    <t>Alloy Wasted (g)</t>
  </si>
  <si>
    <t>Paste Used (g)</t>
  </si>
  <si>
    <t>Paste Wasted (g)</t>
  </si>
  <si>
    <t>Rework Units</t>
  </si>
  <si>
    <t>Scrapped Units</t>
  </si>
  <si>
    <t>Shift</t>
  </si>
  <si>
    <t>Inspector ID</t>
  </si>
  <si>
    <t>Root Cause Tag</t>
  </si>
  <si>
    <t>Severity</t>
  </si>
  <si>
    <t>03-Jan-26</t>
  </si>
  <si>
    <t>B-0103</t>
  </si>
  <si>
    <t>Line-A</t>
  </si>
  <si>
    <t>Wave Soldering</t>
  </si>
  <si>
    <t>WP-01</t>
  </si>
  <si>
    <t>Solder Bridge</t>
  </si>
  <si>
    <t>Process Defect</t>
  </si>
  <si>
    <t>Morning</t>
  </si>
  <si>
    <t>QC-01</t>
  </si>
  <si>
    <t>Temperature Deviation</t>
  </si>
  <si>
    <t>High</t>
  </si>
  <si>
    <t>04-Jan-26</t>
  </si>
  <si>
    <t>B-0104</t>
  </si>
  <si>
    <t>Line-B</t>
  </si>
  <si>
    <t>Paste Printing</t>
  </si>
  <si>
    <t>SP-02</t>
  </si>
  <si>
    <t>Paste Misalignment</t>
  </si>
  <si>
    <t>Print Defect</t>
  </si>
  <si>
    <t>QC-02</t>
  </si>
  <si>
    <t>Stencil Drift</t>
  </si>
  <si>
    <t>Medium</t>
  </si>
  <si>
    <t>05-Jan-26</t>
  </si>
  <si>
    <t>B-0105</t>
  </si>
  <si>
    <t>Flux Residue</t>
  </si>
  <si>
    <t>Contamination</t>
  </si>
  <si>
    <t>Night</t>
  </si>
  <si>
    <t>QC-03</t>
  </si>
  <si>
    <t>Flux Buildup</t>
  </si>
  <si>
    <t>06-Jan-26</t>
  </si>
  <si>
    <t>B-0106</t>
  </si>
  <si>
    <t>Line-C</t>
  </si>
  <si>
    <t>Reflow</t>
  </si>
  <si>
    <t>RF-03</t>
  </si>
  <si>
    <t>Cold Solder Joint</t>
  </si>
  <si>
    <t>Temperature Undershoot</t>
  </si>
  <si>
    <t>07-Jan-26</t>
  </si>
  <si>
    <t>B-0107</t>
  </si>
  <si>
    <t>SP-01</t>
  </si>
  <si>
    <t>Insufficient Paste</t>
  </si>
  <si>
    <t>Afternoon</t>
  </si>
  <si>
    <t>Squeegee Pressure</t>
  </si>
  <si>
    <t>08-Jan-26</t>
  </si>
  <si>
    <t>B-0108</t>
  </si>
  <si>
    <t>WP-02</t>
  </si>
  <si>
    <t>Solder Skip</t>
  </si>
  <si>
    <t>Conveyor Fluctuation</t>
  </si>
  <si>
    <t>09-Jan-26</t>
  </si>
  <si>
    <t>B-0109</t>
  </si>
  <si>
    <t>RF-01</t>
  </si>
  <si>
    <t>Component Shift</t>
  </si>
  <si>
    <t>Placement Defect</t>
  </si>
  <si>
    <t>Belt Misalignment</t>
  </si>
  <si>
    <t>10-Jan-26</t>
  </si>
  <si>
    <t>B-0110</t>
  </si>
  <si>
    <t>SP-03</t>
  </si>
  <si>
    <t>Print Head Clog</t>
  </si>
  <si>
    <t>Equipment Defect</t>
  </si>
  <si>
    <t>Maintenance Gap</t>
  </si>
  <si>
    <t>Critical</t>
  </si>
  <si>
    <t>11-Jan-26</t>
  </si>
  <si>
    <t>B-0111</t>
  </si>
  <si>
    <t>Excess Solder</t>
  </si>
  <si>
    <t>N2 Flow Drop</t>
  </si>
  <si>
    <t>12-Jan-26</t>
  </si>
  <si>
    <t>B-0112</t>
  </si>
  <si>
    <t>RF-02</t>
  </si>
  <si>
    <t>Solder Ball</t>
  </si>
  <si>
    <t>Temperature Overshoot</t>
  </si>
  <si>
    <t>13-Jan-26</t>
  </si>
  <si>
    <t>B-0113</t>
  </si>
  <si>
    <t>Stencil Warp</t>
  </si>
  <si>
    <t>Stencil Aging</t>
  </si>
  <si>
    <t>14-Jan-26</t>
  </si>
  <si>
    <t>B-0114</t>
  </si>
  <si>
    <t>WP-03</t>
  </si>
  <si>
    <t>Quality Deviation</t>
  </si>
  <si>
    <t>15-Jan-26</t>
  </si>
  <si>
    <t>B-0115</t>
  </si>
  <si>
    <t>Incomplete Reflow</t>
  </si>
  <si>
    <t>Cooling Deviation</t>
  </si>
  <si>
    <t>16-Jan-26</t>
  </si>
  <si>
    <t>B-0116</t>
  </si>
  <si>
    <t>Paste Volume Low</t>
  </si>
  <si>
    <t>Paste Volume Error</t>
  </si>
  <si>
    <t>17-Jan-26</t>
  </si>
  <si>
    <t>B-0117</t>
  </si>
  <si>
    <t>Dross Inclusions</t>
  </si>
  <si>
    <t>Dross Excess</t>
  </si>
  <si>
    <t>18-Jan-26</t>
  </si>
  <si>
    <t>B-0118</t>
  </si>
  <si>
    <t>Open Joint</t>
  </si>
  <si>
    <t>Sensor Failure</t>
  </si>
  <si>
    <t>19-Jan-26</t>
  </si>
  <si>
    <t>B-0119</t>
  </si>
  <si>
    <t>Stencil Underside</t>
  </si>
  <si>
    <t>20-Jan-26</t>
  </si>
  <si>
    <t>B-0120</t>
  </si>
  <si>
    <t>Preheat Failure</t>
  </si>
  <si>
    <t>21-Jan-26</t>
  </si>
  <si>
    <t>B-0121</t>
  </si>
  <si>
    <t>Board Warp</t>
  </si>
  <si>
    <t>Quality Defect</t>
  </si>
  <si>
    <t>Warpage</t>
  </si>
  <si>
    <t>22-Jan-26</t>
  </si>
  <si>
    <t>B-0122</t>
  </si>
  <si>
    <t>Print Speed Error</t>
  </si>
  <si>
    <t>Calibration Error</t>
  </si>
  <si>
    <t>23-Jan-26</t>
  </si>
  <si>
    <t>B-0123</t>
  </si>
  <si>
    <t>Solder Pot Low</t>
  </si>
  <si>
    <t>Material Shortage</t>
  </si>
  <si>
    <t>24-Jan-26</t>
  </si>
  <si>
    <t>B-0124</t>
  </si>
  <si>
    <t>Vibration Damage</t>
  </si>
  <si>
    <t>Fan Motor Vibe</t>
  </si>
  <si>
    <t>Low</t>
  </si>
  <si>
    <t>25-Jan-26</t>
  </si>
  <si>
    <t>B-0125</t>
  </si>
  <si>
    <t>Stencil Loose</t>
  </si>
  <si>
    <t>Clamp Failure</t>
  </si>
  <si>
    <t>26-Jan-26</t>
  </si>
  <si>
    <t>B-0126</t>
  </si>
  <si>
    <t>Flux Void</t>
  </si>
  <si>
    <t>Flux Voiding</t>
  </si>
  <si>
    <t>27-Jan-26</t>
  </si>
  <si>
    <t>B-0127</t>
  </si>
  <si>
    <t>Profile Mismatch</t>
  </si>
  <si>
    <t>Profile Error</t>
  </si>
  <si>
    <t>28-Jan-26</t>
  </si>
  <si>
    <t>B-0128</t>
  </si>
  <si>
    <t>Paste Oxidation</t>
  </si>
  <si>
    <t>Material Defect</t>
  </si>
  <si>
    <t>Paste Shelf Life</t>
  </si>
  <si>
    <t>29-Jan-26</t>
  </si>
  <si>
    <t>B-0129</t>
  </si>
  <si>
    <t>Conveyor Jam</t>
  </si>
  <si>
    <t>Mechanical Defect</t>
  </si>
  <si>
    <t>30-Jan-26</t>
  </si>
  <si>
    <t>B-0130</t>
  </si>
  <si>
    <t>Sensor Drift</t>
  </si>
  <si>
    <t>31-Jan-26</t>
  </si>
  <si>
    <t>B-0131</t>
  </si>
  <si>
    <t>Nozzle Degradation</t>
  </si>
  <si>
    <t>01-Feb-26</t>
  </si>
  <si>
    <t>B-0132</t>
  </si>
  <si>
    <t>Purity Defect</t>
  </si>
  <si>
    <t>Solder Purity</t>
  </si>
  <si>
    <t>02-Feb-26</t>
  </si>
  <si>
    <t>B-0133</t>
  </si>
  <si>
    <t>Power Fluctuation</t>
  </si>
  <si>
    <t>Power Quality</t>
  </si>
  <si>
    <t>03-Feb-26</t>
  </si>
  <si>
    <t>B-0134</t>
  </si>
  <si>
    <t>Vision System</t>
  </si>
  <si>
    <t>04-Feb-26</t>
  </si>
  <si>
    <t>B-0135</t>
  </si>
  <si>
    <t>Edge Splash</t>
  </si>
  <si>
    <t>Solder Splash</t>
  </si>
  <si>
    <t>05-Feb-26</t>
  </si>
  <si>
    <t>B-0136</t>
  </si>
  <si>
    <t>Pressure Drop</t>
  </si>
  <si>
    <t>Cooling Zone</t>
  </si>
  <si>
    <t>06-Feb-26</t>
  </si>
  <si>
    <t>B-0137</t>
  </si>
  <si>
    <t>Environmental</t>
  </si>
  <si>
    <t>FOOTNOTE</t>
  </si>
  <si>
    <t>1. In Paste Printing stage, according to operations manager, the Print Defect can be fixed by 80%, Material Defect by 100%, Equipment Defect by 70%.</t>
  </si>
  <si>
    <t>2. The Scrap at all stages can be reduced by 30%.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</si>
</sst>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showGridLines="0" tabSelected="1" workbookViewId="0">
      <selection sqref="A1:XFD1"/>
    </sheetView>
  </sheetViews>
  <sheetFormatPr defaultRowHeight="15" x14ac:dyDescent="0.25"/>
  <cols>
    <col min="1" max="1" width="9" customWidth="1"/>
    <col min="2" max="2" width="12" customWidth="1"/>
    <col min="3" max="3" width="10" customWidth="1"/>
    <col min="4" max="4" width="8" customWidth="1"/>
    <col min="5" max="5" width="18" customWidth="1"/>
    <col min="6" max="6" width="11" customWidth="1"/>
    <col min="7" max="7" width="24" customWidth="1"/>
    <col min="8" max="8" width="18" customWidth="1"/>
    <col min="9" max="10" width="13" customWidth="1"/>
    <col min="11" max="13" width="12" customWidth="1"/>
    <col min="14" max="14" width="11" customWidth="1"/>
    <col min="15" max="16" width="12" customWidth="1"/>
    <col min="17" max="17" width="13" customWidth="1"/>
    <col min="18" max="19" width="11" customWidth="1"/>
    <col min="20" max="20" width="22" customWidth="1"/>
    <col min="21" max="21" width="11" customWidth="1"/>
  </cols>
  <sheetData>
    <row r="1" spans="1:2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>
        <v>480</v>
      </c>
      <c r="J2" s="2">
        <v>24</v>
      </c>
      <c r="K2" s="2">
        <v>5</v>
      </c>
      <c r="L2" s="2">
        <v>2880</v>
      </c>
      <c r="M2" s="2">
        <v>346</v>
      </c>
      <c r="N2" s="2">
        <v>0</v>
      </c>
      <c r="O2" s="2">
        <v>0</v>
      </c>
      <c r="P2" s="2">
        <v>18</v>
      </c>
      <c r="Q2" s="2">
        <v>6</v>
      </c>
      <c r="R2" s="2" t="s">
        <v>28</v>
      </c>
      <c r="S2" s="2" t="s">
        <v>29</v>
      </c>
      <c r="T2" s="2" t="s">
        <v>30</v>
      </c>
      <c r="U2" s="2" t="s">
        <v>31</v>
      </c>
    </row>
    <row r="3" spans="1:21" x14ac:dyDescent="0.25">
      <c r="A3" s="3">
        <v>2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>
        <v>520</v>
      </c>
      <c r="J3" s="3">
        <v>41</v>
      </c>
      <c r="K3" s="3">
        <v>7.9</v>
      </c>
      <c r="L3" s="3">
        <v>0</v>
      </c>
      <c r="M3" s="3">
        <v>0</v>
      </c>
      <c r="N3" s="3">
        <v>1560</v>
      </c>
      <c r="O3" s="3">
        <v>218</v>
      </c>
      <c r="P3" s="3">
        <v>35</v>
      </c>
      <c r="Q3" s="3">
        <v>6</v>
      </c>
      <c r="R3" s="3" t="s">
        <v>28</v>
      </c>
      <c r="S3" s="3" t="s">
        <v>39</v>
      </c>
      <c r="T3" s="3" t="s">
        <v>40</v>
      </c>
      <c r="U3" s="3" t="s">
        <v>41</v>
      </c>
    </row>
    <row r="4" spans="1:21" x14ac:dyDescent="0.25">
      <c r="A4" s="2">
        <v>3</v>
      </c>
      <c r="B4" s="2" t="s">
        <v>42</v>
      </c>
      <c r="C4" s="2" t="s">
        <v>43</v>
      </c>
      <c r="D4" s="2" t="s">
        <v>23</v>
      </c>
      <c r="E4" s="2" t="s">
        <v>24</v>
      </c>
      <c r="F4" s="2" t="s">
        <v>25</v>
      </c>
      <c r="G4" s="2" t="s">
        <v>44</v>
      </c>
      <c r="H4" s="2" t="s">
        <v>45</v>
      </c>
      <c r="I4" s="2">
        <v>490</v>
      </c>
      <c r="J4" s="2">
        <v>22</v>
      </c>
      <c r="K4" s="2">
        <v>4.5</v>
      </c>
      <c r="L4" s="2">
        <v>2940</v>
      </c>
      <c r="M4" s="2">
        <v>264</v>
      </c>
      <c r="N4" s="2">
        <v>0</v>
      </c>
      <c r="O4" s="2">
        <v>0</v>
      </c>
      <c r="P4" s="2">
        <v>19</v>
      </c>
      <c r="Q4" s="2">
        <v>3</v>
      </c>
      <c r="R4" s="2" t="s">
        <v>46</v>
      </c>
      <c r="S4" s="2" t="s">
        <v>47</v>
      </c>
      <c r="T4" s="2" t="s">
        <v>48</v>
      </c>
      <c r="U4" s="2" t="s">
        <v>41</v>
      </c>
    </row>
    <row r="5" spans="1:21" x14ac:dyDescent="0.25">
      <c r="A5" s="3">
        <v>4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27</v>
      </c>
      <c r="I5" s="3">
        <v>510</v>
      </c>
      <c r="J5" s="3">
        <v>46</v>
      </c>
      <c r="K5" s="3">
        <v>9</v>
      </c>
      <c r="L5" s="3">
        <v>3060</v>
      </c>
      <c r="M5" s="3">
        <v>552</v>
      </c>
      <c r="N5" s="3">
        <v>1530</v>
      </c>
      <c r="O5" s="3">
        <v>184</v>
      </c>
      <c r="P5" s="3">
        <v>38</v>
      </c>
      <c r="Q5" s="3">
        <v>8</v>
      </c>
      <c r="R5" s="3" t="s">
        <v>28</v>
      </c>
      <c r="S5" s="3" t="s">
        <v>29</v>
      </c>
      <c r="T5" s="3" t="s">
        <v>55</v>
      </c>
      <c r="U5" s="3" t="s">
        <v>31</v>
      </c>
    </row>
    <row r="6" spans="1:21" x14ac:dyDescent="0.25">
      <c r="A6" s="2">
        <v>5</v>
      </c>
      <c r="B6" s="2" t="s">
        <v>56</v>
      </c>
      <c r="C6" s="2" t="s">
        <v>57</v>
      </c>
      <c r="D6" s="2" t="s">
        <v>23</v>
      </c>
      <c r="E6" s="2" t="s">
        <v>35</v>
      </c>
      <c r="F6" s="2" t="s">
        <v>58</v>
      </c>
      <c r="G6" s="2" t="s">
        <v>59</v>
      </c>
      <c r="H6" s="2" t="s">
        <v>38</v>
      </c>
      <c r="I6" s="2">
        <v>500</v>
      </c>
      <c r="J6" s="2">
        <v>55</v>
      </c>
      <c r="K6" s="2">
        <v>11</v>
      </c>
      <c r="L6" s="2">
        <v>0</v>
      </c>
      <c r="M6" s="2">
        <v>0</v>
      </c>
      <c r="N6" s="2">
        <v>1500</v>
      </c>
      <c r="O6" s="2">
        <v>330</v>
      </c>
      <c r="P6" s="2">
        <v>47</v>
      </c>
      <c r="Q6" s="2">
        <v>8</v>
      </c>
      <c r="R6" s="2" t="s">
        <v>60</v>
      </c>
      <c r="S6" s="2" t="s">
        <v>39</v>
      </c>
      <c r="T6" s="2" t="s">
        <v>61</v>
      </c>
      <c r="U6" s="2" t="s">
        <v>31</v>
      </c>
    </row>
    <row r="7" spans="1:21" x14ac:dyDescent="0.25">
      <c r="A7" s="3">
        <v>6</v>
      </c>
      <c r="B7" s="3" t="s">
        <v>62</v>
      </c>
      <c r="C7" s="3" t="s">
        <v>63</v>
      </c>
      <c r="D7" s="3" t="s">
        <v>34</v>
      </c>
      <c r="E7" s="3" t="s">
        <v>24</v>
      </c>
      <c r="F7" s="3" t="s">
        <v>64</v>
      </c>
      <c r="G7" s="3" t="s">
        <v>65</v>
      </c>
      <c r="H7" s="3" t="s">
        <v>27</v>
      </c>
      <c r="I7" s="3">
        <v>530</v>
      </c>
      <c r="J7" s="3">
        <v>27</v>
      </c>
      <c r="K7" s="3">
        <v>5.0999999999999996</v>
      </c>
      <c r="L7" s="3">
        <v>3180</v>
      </c>
      <c r="M7" s="3">
        <v>318</v>
      </c>
      <c r="N7" s="3">
        <v>0</v>
      </c>
      <c r="O7" s="3">
        <v>0</v>
      </c>
      <c r="P7" s="3">
        <v>22</v>
      </c>
      <c r="Q7" s="3">
        <v>5</v>
      </c>
      <c r="R7" s="3" t="s">
        <v>28</v>
      </c>
      <c r="S7" s="3" t="s">
        <v>47</v>
      </c>
      <c r="T7" s="3" t="s">
        <v>66</v>
      </c>
      <c r="U7" s="3" t="s">
        <v>41</v>
      </c>
    </row>
    <row r="8" spans="1:21" x14ac:dyDescent="0.25">
      <c r="A8" s="2">
        <v>7</v>
      </c>
      <c r="B8" s="2" t="s">
        <v>67</v>
      </c>
      <c r="C8" s="2" t="s">
        <v>68</v>
      </c>
      <c r="D8" s="2" t="s">
        <v>23</v>
      </c>
      <c r="E8" s="2" t="s">
        <v>52</v>
      </c>
      <c r="F8" s="2" t="s">
        <v>69</v>
      </c>
      <c r="G8" s="2" t="s">
        <v>70</v>
      </c>
      <c r="H8" s="2" t="s">
        <v>71</v>
      </c>
      <c r="I8" s="2">
        <v>470</v>
      </c>
      <c r="J8" s="2">
        <v>19</v>
      </c>
      <c r="K8" s="2">
        <v>4</v>
      </c>
      <c r="L8" s="2">
        <v>2820</v>
      </c>
      <c r="M8" s="2">
        <v>226</v>
      </c>
      <c r="N8" s="2">
        <v>1410</v>
      </c>
      <c r="O8" s="2">
        <v>113</v>
      </c>
      <c r="P8" s="2">
        <v>15</v>
      </c>
      <c r="Q8" s="2">
        <v>4</v>
      </c>
      <c r="R8" s="2" t="s">
        <v>60</v>
      </c>
      <c r="S8" s="2" t="s">
        <v>29</v>
      </c>
      <c r="T8" s="2" t="s">
        <v>72</v>
      </c>
      <c r="U8" s="2" t="s">
        <v>41</v>
      </c>
    </row>
    <row r="9" spans="1:21" x14ac:dyDescent="0.25">
      <c r="A9" s="3">
        <v>8</v>
      </c>
      <c r="B9" s="3" t="s">
        <v>73</v>
      </c>
      <c r="C9" s="3" t="s">
        <v>74</v>
      </c>
      <c r="D9" s="3" t="s">
        <v>51</v>
      </c>
      <c r="E9" s="3" t="s">
        <v>35</v>
      </c>
      <c r="F9" s="3" t="s">
        <v>75</v>
      </c>
      <c r="G9" s="3" t="s">
        <v>76</v>
      </c>
      <c r="H9" s="3" t="s">
        <v>77</v>
      </c>
      <c r="I9" s="3">
        <v>515</v>
      </c>
      <c r="J9" s="3">
        <v>72</v>
      </c>
      <c r="K9" s="3">
        <v>14</v>
      </c>
      <c r="L9" s="3">
        <v>0</v>
      </c>
      <c r="M9" s="3">
        <v>0</v>
      </c>
      <c r="N9" s="3">
        <v>1545</v>
      </c>
      <c r="O9" s="3">
        <v>432</v>
      </c>
      <c r="P9" s="3">
        <v>58</v>
      </c>
      <c r="Q9" s="3">
        <v>14</v>
      </c>
      <c r="R9" s="3" t="s">
        <v>46</v>
      </c>
      <c r="S9" s="3" t="s">
        <v>39</v>
      </c>
      <c r="T9" s="3" t="s">
        <v>78</v>
      </c>
      <c r="U9" s="3" t="s">
        <v>79</v>
      </c>
    </row>
    <row r="10" spans="1:21" x14ac:dyDescent="0.25">
      <c r="A10" s="2">
        <v>9</v>
      </c>
      <c r="B10" s="2" t="s">
        <v>80</v>
      </c>
      <c r="C10" s="2" t="s">
        <v>81</v>
      </c>
      <c r="D10" s="2" t="s">
        <v>23</v>
      </c>
      <c r="E10" s="2" t="s">
        <v>24</v>
      </c>
      <c r="F10" s="2" t="s">
        <v>25</v>
      </c>
      <c r="G10" s="2" t="s">
        <v>82</v>
      </c>
      <c r="H10" s="2" t="s">
        <v>27</v>
      </c>
      <c r="I10" s="2">
        <v>480</v>
      </c>
      <c r="J10" s="2">
        <v>26</v>
      </c>
      <c r="K10" s="2">
        <v>5.4</v>
      </c>
      <c r="L10" s="2">
        <v>2880</v>
      </c>
      <c r="M10" s="2">
        <v>311</v>
      </c>
      <c r="N10" s="2">
        <v>0</v>
      </c>
      <c r="O10" s="2">
        <v>0</v>
      </c>
      <c r="P10" s="2">
        <v>21</v>
      </c>
      <c r="Q10" s="2">
        <v>5</v>
      </c>
      <c r="R10" s="2" t="s">
        <v>28</v>
      </c>
      <c r="S10" s="2" t="s">
        <v>47</v>
      </c>
      <c r="T10" s="2" t="s">
        <v>83</v>
      </c>
      <c r="U10" s="2" t="s">
        <v>31</v>
      </c>
    </row>
    <row r="11" spans="1:21" x14ac:dyDescent="0.25">
      <c r="A11" s="3">
        <v>10</v>
      </c>
      <c r="B11" s="3" t="s">
        <v>84</v>
      </c>
      <c r="C11" s="3" t="s">
        <v>85</v>
      </c>
      <c r="D11" s="3" t="s">
        <v>34</v>
      </c>
      <c r="E11" s="3" t="s">
        <v>52</v>
      </c>
      <c r="F11" s="3" t="s">
        <v>86</v>
      </c>
      <c r="G11" s="3" t="s">
        <v>87</v>
      </c>
      <c r="H11" s="3" t="s">
        <v>27</v>
      </c>
      <c r="I11" s="3">
        <v>525</v>
      </c>
      <c r="J11" s="3">
        <v>39</v>
      </c>
      <c r="K11" s="3">
        <v>7.4</v>
      </c>
      <c r="L11" s="3">
        <v>3150</v>
      </c>
      <c r="M11" s="3">
        <v>466</v>
      </c>
      <c r="N11" s="3">
        <v>1575</v>
      </c>
      <c r="O11" s="3">
        <v>233</v>
      </c>
      <c r="P11" s="3">
        <v>32</v>
      </c>
      <c r="Q11" s="3">
        <v>7</v>
      </c>
      <c r="R11" s="3" t="s">
        <v>28</v>
      </c>
      <c r="S11" s="3" t="s">
        <v>29</v>
      </c>
      <c r="T11" s="3" t="s">
        <v>88</v>
      </c>
      <c r="U11" s="3" t="s">
        <v>31</v>
      </c>
    </row>
    <row r="12" spans="1:21" x14ac:dyDescent="0.25">
      <c r="A12" s="2">
        <v>11</v>
      </c>
      <c r="B12" s="2" t="s">
        <v>89</v>
      </c>
      <c r="C12" s="2" t="s">
        <v>90</v>
      </c>
      <c r="D12" s="2" t="s">
        <v>34</v>
      </c>
      <c r="E12" s="2" t="s">
        <v>35</v>
      </c>
      <c r="F12" s="2" t="s">
        <v>36</v>
      </c>
      <c r="G12" s="2" t="s">
        <v>91</v>
      </c>
      <c r="H12" s="2" t="s">
        <v>38</v>
      </c>
      <c r="I12" s="2">
        <v>510</v>
      </c>
      <c r="J12" s="2">
        <v>44</v>
      </c>
      <c r="K12" s="2">
        <v>8.6</v>
      </c>
      <c r="L12" s="2">
        <v>0</v>
      </c>
      <c r="M12" s="2">
        <v>0</v>
      </c>
      <c r="N12" s="2">
        <v>1530</v>
      </c>
      <c r="O12" s="2">
        <v>264</v>
      </c>
      <c r="P12" s="2">
        <v>37</v>
      </c>
      <c r="Q12" s="2">
        <v>7</v>
      </c>
      <c r="R12" s="2" t="s">
        <v>60</v>
      </c>
      <c r="S12" s="2" t="s">
        <v>39</v>
      </c>
      <c r="T12" s="2" t="s">
        <v>92</v>
      </c>
      <c r="U12" s="2" t="s">
        <v>31</v>
      </c>
    </row>
    <row r="13" spans="1:21" x14ac:dyDescent="0.25">
      <c r="A13" s="3">
        <v>12</v>
      </c>
      <c r="B13" s="3" t="s">
        <v>93</v>
      </c>
      <c r="C13" s="3" t="s">
        <v>94</v>
      </c>
      <c r="D13" s="3" t="s">
        <v>51</v>
      </c>
      <c r="E13" s="3" t="s">
        <v>24</v>
      </c>
      <c r="F13" s="3" t="s">
        <v>95</v>
      </c>
      <c r="G13" s="3" t="s">
        <v>26</v>
      </c>
      <c r="H13" s="3" t="s">
        <v>27</v>
      </c>
      <c r="I13" s="3">
        <v>490</v>
      </c>
      <c r="J13" s="3">
        <v>35</v>
      </c>
      <c r="K13" s="3">
        <v>7.1</v>
      </c>
      <c r="L13" s="3">
        <v>2940</v>
      </c>
      <c r="M13" s="3">
        <v>416</v>
      </c>
      <c r="N13" s="3">
        <v>0</v>
      </c>
      <c r="O13" s="3">
        <v>0</v>
      </c>
      <c r="P13" s="3">
        <v>29</v>
      </c>
      <c r="Q13" s="3">
        <v>6</v>
      </c>
      <c r="R13" s="3" t="s">
        <v>46</v>
      </c>
      <c r="S13" s="3" t="s">
        <v>47</v>
      </c>
      <c r="T13" s="3" t="s">
        <v>96</v>
      </c>
      <c r="U13" s="3" t="s">
        <v>31</v>
      </c>
    </row>
    <row r="14" spans="1:21" x14ac:dyDescent="0.25">
      <c r="A14" s="2">
        <v>13</v>
      </c>
      <c r="B14" s="2" t="s">
        <v>97</v>
      </c>
      <c r="C14" s="2" t="s">
        <v>98</v>
      </c>
      <c r="D14" s="2" t="s">
        <v>51</v>
      </c>
      <c r="E14" s="2" t="s">
        <v>52</v>
      </c>
      <c r="F14" s="2" t="s">
        <v>53</v>
      </c>
      <c r="G14" s="2" t="s">
        <v>99</v>
      </c>
      <c r="H14" s="2" t="s">
        <v>27</v>
      </c>
      <c r="I14" s="2">
        <v>500</v>
      </c>
      <c r="J14" s="2">
        <v>21</v>
      </c>
      <c r="K14" s="2">
        <v>4.2</v>
      </c>
      <c r="L14" s="2">
        <v>3000</v>
      </c>
      <c r="M14" s="2">
        <v>252</v>
      </c>
      <c r="N14" s="2">
        <v>1500</v>
      </c>
      <c r="O14" s="2">
        <v>126</v>
      </c>
      <c r="P14" s="2">
        <v>17</v>
      </c>
      <c r="Q14" s="2">
        <v>4</v>
      </c>
      <c r="R14" s="2" t="s">
        <v>28</v>
      </c>
      <c r="S14" s="2" t="s">
        <v>29</v>
      </c>
      <c r="T14" s="2" t="s">
        <v>100</v>
      </c>
      <c r="U14" s="2" t="s">
        <v>41</v>
      </c>
    </row>
    <row r="15" spans="1:21" x14ac:dyDescent="0.25">
      <c r="A15" s="3">
        <v>14</v>
      </c>
      <c r="B15" s="3" t="s">
        <v>101</v>
      </c>
      <c r="C15" s="3" t="s">
        <v>102</v>
      </c>
      <c r="D15" s="3" t="s">
        <v>23</v>
      </c>
      <c r="E15" s="3" t="s">
        <v>35</v>
      </c>
      <c r="F15" s="3" t="s">
        <v>58</v>
      </c>
      <c r="G15" s="3" t="s">
        <v>103</v>
      </c>
      <c r="H15" s="3" t="s">
        <v>38</v>
      </c>
      <c r="I15" s="3">
        <v>505</v>
      </c>
      <c r="J15" s="3">
        <v>66</v>
      </c>
      <c r="K15" s="3">
        <v>13.1</v>
      </c>
      <c r="L15" s="3">
        <v>0</v>
      </c>
      <c r="M15" s="3">
        <v>0</v>
      </c>
      <c r="N15" s="3">
        <v>1515</v>
      </c>
      <c r="O15" s="3">
        <v>396</v>
      </c>
      <c r="P15" s="3">
        <v>53</v>
      </c>
      <c r="Q15" s="3">
        <v>13</v>
      </c>
      <c r="R15" s="3" t="s">
        <v>28</v>
      </c>
      <c r="S15" s="3" t="s">
        <v>39</v>
      </c>
      <c r="T15" s="3" t="s">
        <v>104</v>
      </c>
      <c r="U15" s="3" t="s">
        <v>79</v>
      </c>
    </row>
    <row r="16" spans="1:21" x14ac:dyDescent="0.25">
      <c r="A16" s="2">
        <v>15</v>
      </c>
      <c r="B16" s="2" t="s">
        <v>105</v>
      </c>
      <c r="C16" s="2" t="s">
        <v>106</v>
      </c>
      <c r="D16" s="2" t="s">
        <v>34</v>
      </c>
      <c r="E16" s="2" t="s">
        <v>24</v>
      </c>
      <c r="F16" s="2" t="s">
        <v>64</v>
      </c>
      <c r="G16" s="2" t="s">
        <v>107</v>
      </c>
      <c r="H16" s="2" t="s">
        <v>45</v>
      </c>
      <c r="I16" s="2">
        <v>535</v>
      </c>
      <c r="J16" s="2">
        <v>38</v>
      </c>
      <c r="K16" s="2">
        <v>7.1</v>
      </c>
      <c r="L16" s="2">
        <v>3210</v>
      </c>
      <c r="M16" s="2">
        <v>456</v>
      </c>
      <c r="N16" s="2">
        <v>0</v>
      </c>
      <c r="O16" s="2">
        <v>0</v>
      </c>
      <c r="P16" s="2">
        <v>31</v>
      </c>
      <c r="Q16" s="2">
        <v>7</v>
      </c>
      <c r="R16" s="2" t="s">
        <v>60</v>
      </c>
      <c r="S16" s="2" t="s">
        <v>47</v>
      </c>
      <c r="T16" s="2" t="s">
        <v>108</v>
      </c>
      <c r="U16" s="2" t="s">
        <v>31</v>
      </c>
    </row>
    <row r="17" spans="1:21" x14ac:dyDescent="0.25">
      <c r="A17" s="3">
        <v>16</v>
      </c>
      <c r="B17" s="3" t="s">
        <v>109</v>
      </c>
      <c r="C17" s="3" t="s">
        <v>110</v>
      </c>
      <c r="D17" s="3" t="s">
        <v>23</v>
      </c>
      <c r="E17" s="3" t="s">
        <v>52</v>
      </c>
      <c r="F17" s="3" t="s">
        <v>69</v>
      </c>
      <c r="G17" s="3" t="s">
        <v>111</v>
      </c>
      <c r="H17" s="3" t="s">
        <v>27</v>
      </c>
      <c r="I17" s="3">
        <v>460</v>
      </c>
      <c r="J17" s="3">
        <v>18</v>
      </c>
      <c r="K17" s="3">
        <v>3.9</v>
      </c>
      <c r="L17" s="3">
        <v>2760</v>
      </c>
      <c r="M17" s="3">
        <v>214</v>
      </c>
      <c r="N17" s="3">
        <v>1380</v>
      </c>
      <c r="O17" s="3">
        <v>108</v>
      </c>
      <c r="P17" s="3">
        <v>14</v>
      </c>
      <c r="Q17" s="3">
        <v>4</v>
      </c>
      <c r="R17" s="3" t="s">
        <v>46</v>
      </c>
      <c r="S17" s="3" t="s">
        <v>29</v>
      </c>
      <c r="T17" s="3" t="s">
        <v>112</v>
      </c>
      <c r="U17" s="3" t="s">
        <v>41</v>
      </c>
    </row>
    <row r="18" spans="1:21" x14ac:dyDescent="0.25">
      <c r="A18" s="2">
        <v>17</v>
      </c>
      <c r="B18" s="2" t="s">
        <v>113</v>
      </c>
      <c r="C18" s="2" t="s">
        <v>114</v>
      </c>
      <c r="D18" s="2" t="s">
        <v>51</v>
      </c>
      <c r="E18" s="2" t="s">
        <v>35</v>
      </c>
      <c r="F18" s="2" t="s">
        <v>75</v>
      </c>
      <c r="G18" s="2" t="s">
        <v>151</v>
      </c>
      <c r="H18" s="2" t="s">
        <v>152</v>
      </c>
      <c r="I18" s="2">
        <v>510</v>
      </c>
      <c r="J18" s="2">
        <v>51</v>
      </c>
      <c r="K18" s="2">
        <v>10</v>
      </c>
      <c r="L18" s="2">
        <v>0</v>
      </c>
      <c r="M18" s="2">
        <v>0</v>
      </c>
      <c r="N18" s="2">
        <v>1530</v>
      </c>
      <c r="O18" s="2">
        <v>306</v>
      </c>
      <c r="P18" s="2">
        <v>41</v>
      </c>
      <c r="Q18" s="2">
        <v>10</v>
      </c>
      <c r="R18" s="2" t="s">
        <v>28</v>
      </c>
      <c r="S18" s="2" t="s">
        <v>39</v>
      </c>
      <c r="T18" s="2" t="s">
        <v>115</v>
      </c>
      <c r="U18" s="2" t="s">
        <v>31</v>
      </c>
    </row>
    <row r="19" spans="1:21" x14ac:dyDescent="0.25">
      <c r="A19" s="3">
        <v>18</v>
      </c>
      <c r="B19" s="3" t="s">
        <v>116</v>
      </c>
      <c r="C19" s="3" t="s">
        <v>117</v>
      </c>
      <c r="D19" s="3" t="s">
        <v>23</v>
      </c>
      <c r="E19" s="3" t="s">
        <v>24</v>
      </c>
      <c r="F19" s="3" t="s">
        <v>25</v>
      </c>
      <c r="G19" s="3" t="s">
        <v>65</v>
      </c>
      <c r="H19" s="3" t="s">
        <v>27</v>
      </c>
      <c r="I19" s="3">
        <v>475</v>
      </c>
      <c r="J19" s="3">
        <v>29</v>
      </c>
      <c r="K19" s="3">
        <v>6.1</v>
      </c>
      <c r="L19" s="3">
        <v>2850</v>
      </c>
      <c r="M19" s="3">
        <v>347</v>
      </c>
      <c r="N19" s="3">
        <v>0</v>
      </c>
      <c r="O19" s="3">
        <v>0</v>
      </c>
      <c r="P19" s="3">
        <v>23</v>
      </c>
      <c r="Q19" s="3">
        <v>6</v>
      </c>
      <c r="R19" s="3" t="s">
        <v>60</v>
      </c>
      <c r="S19" s="3" t="s">
        <v>47</v>
      </c>
      <c r="T19" s="3" t="s">
        <v>118</v>
      </c>
      <c r="U19" s="3" t="s">
        <v>31</v>
      </c>
    </row>
    <row r="20" spans="1:21" x14ac:dyDescent="0.25">
      <c r="A20" s="2">
        <v>19</v>
      </c>
      <c r="B20" s="2" t="s">
        <v>119</v>
      </c>
      <c r="C20" s="2" t="s">
        <v>120</v>
      </c>
      <c r="D20" s="2" t="s">
        <v>34</v>
      </c>
      <c r="E20" s="2" t="s">
        <v>52</v>
      </c>
      <c r="F20" s="2" t="s">
        <v>86</v>
      </c>
      <c r="G20" s="2" t="s">
        <v>121</v>
      </c>
      <c r="H20" s="2" t="s">
        <v>122</v>
      </c>
      <c r="I20" s="2">
        <v>520</v>
      </c>
      <c r="J20" s="2">
        <v>32</v>
      </c>
      <c r="K20" s="2">
        <v>6.2</v>
      </c>
      <c r="L20" s="2">
        <v>3120</v>
      </c>
      <c r="M20" s="2">
        <v>384</v>
      </c>
      <c r="N20" s="2">
        <v>1560</v>
      </c>
      <c r="O20" s="2">
        <v>194</v>
      </c>
      <c r="P20" s="2">
        <v>26</v>
      </c>
      <c r="Q20" s="2">
        <v>6</v>
      </c>
      <c r="R20" s="2" t="s">
        <v>28</v>
      </c>
      <c r="S20" s="2" t="s">
        <v>29</v>
      </c>
      <c r="T20" s="2" t="s">
        <v>123</v>
      </c>
      <c r="U20" s="2" t="s">
        <v>41</v>
      </c>
    </row>
    <row r="21" spans="1:21" x14ac:dyDescent="0.25">
      <c r="A21" s="3">
        <v>20</v>
      </c>
      <c r="B21" s="3" t="s">
        <v>124</v>
      </c>
      <c r="C21" s="3" t="s">
        <v>125</v>
      </c>
      <c r="D21" s="3" t="s">
        <v>34</v>
      </c>
      <c r="E21" s="3" t="s">
        <v>35</v>
      </c>
      <c r="F21" s="3" t="s">
        <v>36</v>
      </c>
      <c r="G21" s="3" t="s">
        <v>126</v>
      </c>
      <c r="H21" s="3" t="s">
        <v>38</v>
      </c>
      <c r="I21" s="3">
        <v>510</v>
      </c>
      <c r="J21" s="3">
        <v>29</v>
      </c>
      <c r="K21" s="3">
        <v>5.7</v>
      </c>
      <c r="L21" s="3">
        <v>0</v>
      </c>
      <c r="M21" s="3">
        <v>0</v>
      </c>
      <c r="N21" s="3">
        <v>1530</v>
      </c>
      <c r="O21" s="3">
        <v>174</v>
      </c>
      <c r="P21" s="3">
        <v>24</v>
      </c>
      <c r="Q21" s="3">
        <v>5</v>
      </c>
      <c r="R21" s="3" t="s">
        <v>46</v>
      </c>
      <c r="S21" s="3" t="s">
        <v>39</v>
      </c>
      <c r="T21" s="3" t="s">
        <v>127</v>
      </c>
      <c r="U21" s="3" t="s">
        <v>41</v>
      </c>
    </row>
    <row r="22" spans="1:21" x14ac:dyDescent="0.25">
      <c r="A22" s="2">
        <v>21</v>
      </c>
      <c r="B22" s="2" t="s">
        <v>128</v>
      </c>
      <c r="C22" s="2" t="s">
        <v>129</v>
      </c>
      <c r="D22" s="2" t="s">
        <v>51</v>
      </c>
      <c r="E22" s="2" t="s">
        <v>24</v>
      </c>
      <c r="F22" s="2" t="s">
        <v>95</v>
      </c>
      <c r="G22" s="2" t="s">
        <v>130</v>
      </c>
      <c r="H22" s="2" t="s">
        <v>27</v>
      </c>
      <c r="I22" s="2">
        <v>495</v>
      </c>
      <c r="J22" s="2">
        <v>31</v>
      </c>
      <c r="K22" s="2">
        <v>6.3</v>
      </c>
      <c r="L22" s="2">
        <v>2970</v>
      </c>
      <c r="M22" s="2">
        <v>373</v>
      </c>
      <c r="N22" s="2">
        <v>0</v>
      </c>
      <c r="O22" s="2">
        <v>0</v>
      </c>
      <c r="P22" s="2">
        <v>25</v>
      </c>
      <c r="Q22" s="2">
        <v>6</v>
      </c>
      <c r="R22" s="2" t="s">
        <v>28</v>
      </c>
      <c r="S22" s="2" t="s">
        <v>47</v>
      </c>
      <c r="T22" s="2" t="s">
        <v>131</v>
      </c>
      <c r="U22" s="2" t="s">
        <v>31</v>
      </c>
    </row>
    <row r="23" spans="1:21" x14ac:dyDescent="0.25">
      <c r="A23" s="3">
        <v>22</v>
      </c>
      <c r="B23" s="3" t="s">
        <v>132</v>
      </c>
      <c r="C23" s="3" t="s">
        <v>133</v>
      </c>
      <c r="D23" s="3" t="s">
        <v>51</v>
      </c>
      <c r="E23" s="3" t="s">
        <v>52</v>
      </c>
      <c r="F23" s="3" t="s">
        <v>53</v>
      </c>
      <c r="G23" s="3" t="s">
        <v>134</v>
      </c>
      <c r="H23" s="3" t="s">
        <v>77</v>
      </c>
      <c r="I23" s="3">
        <v>500</v>
      </c>
      <c r="J23" s="3">
        <v>17</v>
      </c>
      <c r="K23" s="3">
        <v>3.4</v>
      </c>
      <c r="L23" s="3">
        <v>3000</v>
      </c>
      <c r="M23" s="3">
        <v>204</v>
      </c>
      <c r="N23" s="3">
        <v>1500</v>
      </c>
      <c r="O23" s="3">
        <v>102</v>
      </c>
      <c r="P23" s="3">
        <v>13</v>
      </c>
      <c r="Q23" s="3">
        <v>4</v>
      </c>
      <c r="R23" s="3" t="s">
        <v>60</v>
      </c>
      <c r="S23" s="3" t="s">
        <v>29</v>
      </c>
      <c r="T23" s="3" t="s">
        <v>135</v>
      </c>
      <c r="U23" s="3" t="s">
        <v>136</v>
      </c>
    </row>
    <row r="24" spans="1:21" x14ac:dyDescent="0.25">
      <c r="A24" s="2">
        <v>23</v>
      </c>
      <c r="B24" s="2" t="s">
        <v>137</v>
      </c>
      <c r="C24" s="2" t="s">
        <v>138</v>
      </c>
      <c r="D24" s="2" t="s">
        <v>23</v>
      </c>
      <c r="E24" s="2" t="s">
        <v>35</v>
      </c>
      <c r="F24" s="2" t="s">
        <v>58</v>
      </c>
      <c r="G24" s="2" t="s">
        <v>139</v>
      </c>
      <c r="H24" s="2" t="s">
        <v>38</v>
      </c>
      <c r="I24" s="2">
        <v>500</v>
      </c>
      <c r="J24" s="2">
        <v>22</v>
      </c>
      <c r="K24" s="2">
        <v>4.4000000000000004</v>
      </c>
      <c r="L24" s="2">
        <v>0</v>
      </c>
      <c r="M24" s="2">
        <v>0</v>
      </c>
      <c r="N24" s="2">
        <v>1500</v>
      </c>
      <c r="O24" s="2">
        <v>132</v>
      </c>
      <c r="P24" s="2">
        <v>18</v>
      </c>
      <c r="Q24" s="2">
        <v>4</v>
      </c>
      <c r="R24" s="2" t="s">
        <v>28</v>
      </c>
      <c r="S24" s="2" t="s">
        <v>39</v>
      </c>
      <c r="T24" s="2" t="s">
        <v>140</v>
      </c>
      <c r="U24" s="2" t="s">
        <v>41</v>
      </c>
    </row>
    <row r="25" spans="1:21" x14ac:dyDescent="0.25">
      <c r="A25" s="3">
        <v>24</v>
      </c>
      <c r="B25" s="3" t="s">
        <v>141</v>
      </c>
      <c r="C25" s="3" t="s">
        <v>142</v>
      </c>
      <c r="D25" s="3" t="s">
        <v>34</v>
      </c>
      <c r="E25" s="3" t="s">
        <v>24</v>
      </c>
      <c r="F25" s="3" t="s">
        <v>64</v>
      </c>
      <c r="G25" s="3" t="s">
        <v>143</v>
      </c>
      <c r="H25" s="3" t="s">
        <v>27</v>
      </c>
      <c r="I25" s="3">
        <v>535</v>
      </c>
      <c r="J25" s="3">
        <v>43</v>
      </c>
      <c r="K25" s="3">
        <v>8</v>
      </c>
      <c r="L25" s="3">
        <v>3210</v>
      </c>
      <c r="M25" s="3">
        <v>514</v>
      </c>
      <c r="N25" s="3">
        <v>0</v>
      </c>
      <c r="O25" s="3">
        <v>0</v>
      </c>
      <c r="P25" s="3">
        <v>35</v>
      </c>
      <c r="Q25" s="3">
        <v>8</v>
      </c>
      <c r="R25" s="3" t="s">
        <v>46</v>
      </c>
      <c r="S25" s="3" t="s">
        <v>47</v>
      </c>
      <c r="T25" s="3" t="s">
        <v>144</v>
      </c>
      <c r="U25" s="3" t="s">
        <v>31</v>
      </c>
    </row>
    <row r="26" spans="1:21" x14ac:dyDescent="0.25">
      <c r="A26" s="2">
        <v>25</v>
      </c>
      <c r="B26" s="2" t="s">
        <v>145</v>
      </c>
      <c r="C26" s="2" t="s">
        <v>146</v>
      </c>
      <c r="D26" s="2" t="s">
        <v>23</v>
      </c>
      <c r="E26" s="2" t="s">
        <v>52</v>
      </c>
      <c r="F26" s="2" t="s">
        <v>69</v>
      </c>
      <c r="G26" s="2" t="s">
        <v>147</v>
      </c>
      <c r="H26" s="2" t="s">
        <v>27</v>
      </c>
      <c r="I26" s="2">
        <v>465</v>
      </c>
      <c r="J26" s="2">
        <v>28</v>
      </c>
      <c r="K26" s="2">
        <v>6</v>
      </c>
      <c r="L26" s="2">
        <v>2790</v>
      </c>
      <c r="M26" s="2">
        <v>335</v>
      </c>
      <c r="N26" s="2">
        <v>1395</v>
      </c>
      <c r="O26" s="2">
        <v>167</v>
      </c>
      <c r="P26" s="2">
        <v>23</v>
      </c>
      <c r="Q26" s="2">
        <v>5</v>
      </c>
      <c r="R26" s="2" t="s">
        <v>28</v>
      </c>
      <c r="S26" s="2" t="s">
        <v>29</v>
      </c>
      <c r="T26" s="2" t="s">
        <v>148</v>
      </c>
      <c r="U26" s="2" t="s">
        <v>41</v>
      </c>
    </row>
    <row r="27" spans="1:21" x14ac:dyDescent="0.25">
      <c r="A27" s="3">
        <v>26</v>
      </c>
      <c r="B27" s="3" t="s">
        <v>149</v>
      </c>
      <c r="C27" s="3" t="s">
        <v>150</v>
      </c>
      <c r="D27" s="3" t="s">
        <v>51</v>
      </c>
      <c r="E27" s="3" t="s">
        <v>35</v>
      </c>
      <c r="F27" s="3" t="s">
        <v>75</v>
      </c>
      <c r="G27" s="3" t="s">
        <v>151</v>
      </c>
      <c r="H27" s="3" t="s">
        <v>152</v>
      </c>
      <c r="I27" s="3">
        <v>510</v>
      </c>
      <c r="J27" s="3">
        <v>59</v>
      </c>
      <c r="K27" s="3">
        <v>11.6</v>
      </c>
      <c r="L27" s="3">
        <v>0</v>
      </c>
      <c r="M27" s="3">
        <v>0</v>
      </c>
      <c r="N27" s="3">
        <v>1530</v>
      </c>
      <c r="O27" s="3">
        <v>354</v>
      </c>
      <c r="P27" s="3">
        <v>48</v>
      </c>
      <c r="Q27" s="3">
        <v>11</v>
      </c>
      <c r="R27" s="3" t="s">
        <v>60</v>
      </c>
      <c r="S27" s="3" t="s">
        <v>39</v>
      </c>
      <c r="T27" s="3" t="s">
        <v>153</v>
      </c>
      <c r="U27" s="3" t="s">
        <v>79</v>
      </c>
    </row>
    <row r="28" spans="1:21" x14ac:dyDescent="0.25">
      <c r="A28" s="2">
        <v>27</v>
      </c>
      <c r="B28" s="2" t="s">
        <v>154</v>
      </c>
      <c r="C28" s="2" t="s">
        <v>155</v>
      </c>
      <c r="D28" s="2" t="s">
        <v>23</v>
      </c>
      <c r="E28" s="2" t="s">
        <v>24</v>
      </c>
      <c r="F28" s="2" t="s">
        <v>25</v>
      </c>
      <c r="G28" s="2" t="s">
        <v>156</v>
      </c>
      <c r="H28" s="2" t="s">
        <v>157</v>
      </c>
      <c r="I28" s="2">
        <v>480</v>
      </c>
      <c r="J28" s="2">
        <v>14</v>
      </c>
      <c r="K28" s="2">
        <v>2.9</v>
      </c>
      <c r="L28" s="2">
        <v>2880</v>
      </c>
      <c r="M28" s="2">
        <v>168</v>
      </c>
      <c r="N28" s="2">
        <v>0</v>
      </c>
      <c r="O28" s="2">
        <v>0</v>
      </c>
      <c r="P28" s="2">
        <v>11</v>
      </c>
      <c r="Q28" s="2">
        <v>3</v>
      </c>
      <c r="R28" s="2" t="s">
        <v>28</v>
      </c>
      <c r="S28" s="2" t="s">
        <v>47</v>
      </c>
      <c r="T28" s="2" t="s">
        <v>156</v>
      </c>
      <c r="U28" s="2" t="s">
        <v>136</v>
      </c>
    </row>
    <row r="29" spans="1:21" x14ac:dyDescent="0.25">
      <c r="A29" s="3">
        <v>28</v>
      </c>
      <c r="B29" s="3" t="s">
        <v>158</v>
      </c>
      <c r="C29" s="3" t="s">
        <v>159</v>
      </c>
      <c r="D29" s="3" t="s">
        <v>34</v>
      </c>
      <c r="E29" s="3" t="s">
        <v>52</v>
      </c>
      <c r="F29" s="3" t="s">
        <v>86</v>
      </c>
      <c r="G29" s="3" t="s">
        <v>160</v>
      </c>
      <c r="H29" s="3" t="s">
        <v>27</v>
      </c>
      <c r="I29" s="3">
        <v>520</v>
      </c>
      <c r="J29" s="3">
        <v>16</v>
      </c>
      <c r="K29" s="3">
        <v>3.1</v>
      </c>
      <c r="L29" s="3">
        <v>3120</v>
      </c>
      <c r="M29" s="3">
        <v>192</v>
      </c>
      <c r="N29" s="3">
        <v>1560</v>
      </c>
      <c r="O29" s="3">
        <v>96</v>
      </c>
      <c r="P29" s="3">
        <v>12</v>
      </c>
      <c r="Q29" s="3">
        <v>4</v>
      </c>
      <c r="R29" s="3" t="s">
        <v>46</v>
      </c>
      <c r="S29" s="3" t="s">
        <v>29</v>
      </c>
      <c r="T29" s="3" t="s">
        <v>160</v>
      </c>
      <c r="U29" s="3" t="s">
        <v>136</v>
      </c>
    </row>
    <row r="30" spans="1:21" x14ac:dyDescent="0.25">
      <c r="A30" s="2">
        <v>29</v>
      </c>
      <c r="B30" s="2" t="s">
        <v>161</v>
      </c>
      <c r="C30" s="2" t="s">
        <v>162</v>
      </c>
      <c r="D30" s="2" t="s">
        <v>34</v>
      </c>
      <c r="E30" s="2" t="s">
        <v>35</v>
      </c>
      <c r="F30" s="2" t="s">
        <v>36</v>
      </c>
      <c r="G30" s="2" t="s">
        <v>59</v>
      </c>
      <c r="H30" s="2" t="s">
        <v>38</v>
      </c>
      <c r="I30" s="2">
        <v>510</v>
      </c>
      <c r="J30" s="2">
        <v>48</v>
      </c>
      <c r="K30" s="2">
        <v>9.4</v>
      </c>
      <c r="L30" s="2">
        <v>0</v>
      </c>
      <c r="M30" s="2">
        <v>0</v>
      </c>
      <c r="N30" s="2">
        <v>1530</v>
      </c>
      <c r="O30" s="2">
        <v>288</v>
      </c>
      <c r="P30" s="2">
        <v>40</v>
      </c>
      <c r="Q30" s="2">
        <v>8</v>
      </c>
      <c r="R30" s="2" t="s">
        <v>28</v>
      </c>
      <c r="S30" s="2" t="s">
        <v>39</v>
      </c>
      <c r="T30" s="2" t="s">
        <v>163</v>
      </c>
      <c r="U30" s="2" t="s">
        <v>31</v>
      </c>
    </row>
    <row r="31" spans="1:21" x14ac:dyDescent="0.25">
      <c r="A31" s="3">
        <v>30</v>
      </c>
      <c r="B31" s="3" t="s">
        <v>164</v>
      </c>
      <c r="C31" s="3" t="s">
        <v>165</v>
      </c>
      <c r="D31" s="3" t="s">
        <v>51</v>
      </c>
      <c r="E31" s="3" t="s">
        <v>24</v>
      </c>
      <c r="F31" s="3" t="s">
        <v>95</v>
      </c>
      <c r="G31" s="3" t="s">
        <v>166</v>
      </c>
      <c r="H31" s="3" t="s">
        <v>152</v>
      </c>
      <c r="I31" s="3">
        <v>490</v>
      </c>
      <c r="J31" s="3">
        <v>44</v>
      </c>
      <c r="K31" s="3">
        <v>9</v>
      </c>
      <c r="L31" s="3">
        <v>2940</v>
      </c>
      <c r="M31" s="3">
        <v>529</v>
      </c>
      <c r="N31" s="3">
        <v>0</v>
      </c>
      <c r="O31" s="3">
        <v>0</v>
      </c>
      <c r="P31" s="3">
        <v>36</v>
      </c>
      <c r="Q31" s="3">
        <v>8</v>
      </c>
      <c r="R31" s="3" t="s">
        <v>60</v>
      </c>
      <c r="S31" s="3" t="s">
        <v>47</v>
      </c>
      <c r="T31" s="3" t="s">
        <v>167</v>
      </c>
      <c r="U31" s="3" t="s">
        <v>79</v>
      </c>
    </row>
    <row r="32" spans="1:21" x14ac:dyDescent="0.25">
      <c r="A32" s="2">
        <v>31</v>
      </c>
      <c r="B32" s="2" t="s">
        <v>168</v>
      </c>
      <c r="C32" s="2" t="s">
        <v>169</v>
      </c>
      <c r="D32" s="2" t="s">
        <v>51</v>
      </c>
      <c r="E32" s="2" t="s">
        <v>52</v>
      </c>
      <c r="F32" s="2" t="s">
        <v>53</v>
      </c>
      <c r="G32" s="2" t="s">
        <v>170</v>
      </c>
      <c r="H32" s="2" t="s">
        <v>77</v>
      </c>
      <c r="I32" s="2">
        <v>500</v>
      </c>
      <c r="J32" s="2">
        <v>19</v>
      </c>
      <c r="K32" s="2">
        <v>3.8</v>
      </c>
      <c r="L32" s="2">
        <v>3000</v>
      </c>
      <c r="M32" s="2">
        <v>228</v>
      </c>
      <c r="N32" s="2">
        <v>1500</v>
      </c>
      <c r="O32" s="2">
        <v>114</v>
      </c>
      <c r="P32" s="2">
        <v>15</v>
      </c>
      <c r="Q32" s="2">
        <v>4</v>
      </c>
      <c r="R32" s="2" t="s">
        <v>28</v>
      </c>
      <c r="S32" s="2" t="s">
        <v>29</v>
      </c>
      <c r="T32" s="2" t="s">
        <v>171</v>
      </c>
      <c r="U32" s="2" t="s">
        <v>41</v>
      </c>
    </row>
    <row r="33" spans="1:21" x14ac:dyDescent="0.25">
      <c r="A33" s="3">
        <v>32</v>
      </c>
      <c r="B33" s="3" t="s">
        <v>172</v>
      </c>
      <c r="C33" s="3" t="s">
        <v>173</v>
      </c>
      <c r="D33" s="3" t="s">
        <v>23</v>
      </c>
      <c r="E33" s="3" t="s">
        <v>35</v>
      </c>
      <c r="F33" s="3" t="s">
        <v>58</v>
      </c>
      <c r="G33" s="3" t="s">
        <v>37</v>
      </c>
      <c r="H33" s="3" t="s">
        <v>38</v>
      </c>
      <c r="I33" s="3">
        <v>505</v>
      </c>
      <c r="J33" s="3">
        <v>36</v>
      </c>
      <c r="K33" s="3">
        <v>7.1</v>
      </c>
      <c r="L33" s="3">
        <v>0</v>
      </c>
      <c r="M33" s="3">
        <v>0</v>
      </c>
      <c r="N33" s="3">
        <v>1515</v>
      </c>
      <c r="O33" s="3">
        <v>216</v>
      </c>
      <c r="P33" s="3">
        <v>29</v>
      </c>
      <c r="Q33" s="3">
        <v>7</v>
      </c>
      <c r="R33" s="3" t="s">
        <v>46</v>
      </c>
      <c r="S33" s="3" t="s">
        <v>39</v>
      </c>
      <c r="T33" s="3" t="s">
        <v>174</v>
      </c>
      <c r="U33" s="3" t="s">
        <v>31</v>
      </c>
    </row>
    <row r="34" spans="1:21" x14ac:dyDescent="0.25">
      <c r="A34" s="2">
        <v>33</v>
      </c>
      <c r="B34" s="2" t="s">
        <v>175</v>
      </c>
      <c r="C34" s="2" t="s">
        <v>176</v>
      </c>
      <c r="D34" s="2" t="s">
        <v>34</v>
      </c>
      <c r="E34" s="2" t="s">
        <v>24</v>
      </c>
      <c r="F34" s="2" t="s">
        <v>64</v>
      </c>
      <c r="G34" s="2" t="s">
        <v>177</v>
      </c>
      <c r="H34" s="2" t="s">
        <v>27</v>
      </c>
      <c r="I34" s="2">
        <v>530</v>
      </c>
      <c r="J34" s="2">
        <v>37</v>
      </c>
      <c r="K34" s="2">
        <v>7</v>
      </c>
      <c r="L34" s="2">
        <v>3180</v>
      </c>
      <c r="M34" s="2">
        <v>445</v>
      </c>
      <c r="N34" s="2">
        <v>0</v>
      </c>
      <c r="O34" s="2">
        <v>0</v>
      </c>
      <c r="P34" s="2">
        <v>30</v>
      </c>
      <c r="Q34" s="2">
        <v>7</v>
      </c>
      <c r="R34" s="2" t="s">
        <v>28</v>
      </c>
      <c r="S34" s="2" t="s">
        <v>47</v>
      </c>
      <c r="T34" s="2" t="s">
        <v>178</v>
      </c>
      <c r="U34" s="2" t="s">
        <v>31</v>
      </c>
    </row>
    <row r="35" spans="1:21" x14ac:dyDescent="0.25">
      <c r="A35" s="3">
        <v>34</v>
      </c>
      <c r="B35" s="3" t="s">
        <v>179</v>
      </c>
      <c r="C35" s="3" t="s">
        <v>180</v>
      </c>
      <c r="D35" s="3" t="s">
        <v>23</v>
      </c>
      <c r="E35" s="3" t="s">
        <v>52</v>
      </c>
      <c r="F35" s="3" t="s">
        <v>69</v>
      </c>
      <c r="G35" s="3" t="s">
        <v>181</v>
      </c>
      <c r="H35" s="3" t="s">
        <v>27</v>
      </c>
      <c r="I35" s="3">
        <v>465</v>
      </c>
      <c r="J35" s="3">
        <v>21</v>
      </c>
      <c r="K35" s="3">
        <v>4.5</v>
      </c>
      <c r="L35" s="3">
        <v>2790</v>
      </c>
      <c r="M35" s="3">
        <v>251</v>
      </c>
      <c r="N35" s="3">
        <v>1395</v>
      </c>
      <c r="O35" s="3">
        <v>125</v>
      </c>
      <c r="P35" s="3">
        <v>17</v>
      </c>
      <c r="Q35" s="3">
        <v>4</v>
      </c>
      <c r="R35" s="3" t="s">
        <v>60</v>
      </c>
      <c r="S35" s="3" t="s">
        <v>29</v>
      </c>
      <c r="T35" s="3" t="s">
        <v>182</v>
      </c>
      <c r="U35" s="3" t="s">
        <v>41</v>
      </c>
    </row>
    <row r="36" spans="1:21" x14ac:dyDescent="0.25">
      <c r="A36" s="2">
        <v>35</v>
      </c>
      <c r="B36" s="2" t="s">
        <v>183</v>
      </c>
      <c r="C36" s="2" t="s">
        <v>184</v>
      </c>
      <c r="D36" s="2" t="s">
        <v>51</v>
      </c>
      <c r="E36" s="2" t="s">
        <v>35</v>
      </c>
      <c r="F36" s="2" t="s">
        <v>75</v>
      </c>
      <c r="G36" s="3" t="s">
        <v>151</v>
      </c>
      <c r="H36" s="2" t="s">
        <v>152</v>
      </c>
      <c r="I36" s="2">
        <v>510</v>
      </c>
      <c r="J36" s="2">
        <v>62</v>
      </c>
      <c r="K36" s="2">
        <v>12.2</v>
      </c>
      <c r="L36" s="2">
        <v>0</v>
      </c>
      <c r="M36" s="2">
        <v>0</v>
      </c>
      <c r="N36" s="2">
        <v>1530</v>
      </c>
      <c r="O36" s="2">
        <v>372</v>
      </c>
      <c r="P36" s="2">
        <v>50</v>
      </c>
      <c r="Q36" s="2">
        <v>12</v>
      </c>
      <c r="R36" s="2" t="s">
        <v>28</v>
      </c>
      <c r="S36" s="2" t="s">
        <v>39</v>
      </c>
      <c r="T36" s="2" t="s">
        <v>185</v>
      </c>
      <c r="U36" s="2" t="s">
        <v>79</v>
      </c>
    </row>
    <row r="37" spans="1:21" x14ac:dyDescent="0.25">
      <c r="I37">
        <f>SUM(I2:I36)</f>
        <v>17550</v>
      </c>
      <c r="J37">
        <f>SUM(J2:J36)</f>
        <v>1231</v>
      </c>
      <c r="P37">
        <f>SUM(P2:P36)</f>
        <v>1002</v>
      </c>
      <c r="Q37">
        <f>SUM(Q2:Q36)</f>
        <v>229</v>
      </c>
    </row>
    <row r="38" spans="1:21" x14ac:dyDescent="0.25">
      <c r="J38">
        <f>I37-J37</f>
        <v>16319</v>
      </c>
    </row>
    <row r="39" spans="1:21" x14ac:dyDescent="0.25">
      <c r="A39" t="s">
        <v>186</v>
      </c>
    </row>
    <row r="40" spans="1:21" x14ac:dyDescent="0.25">
      <c r="A40" t="s">
        <v>187</v>
      </c>
    </row>
    <row r="41" spans="1:21" x14ac:dyDescent="0.25">
      <c r="A41" t="s">
        <v>188</v>
      </c>
    </row>
  </sheetData>
  <autoFilter ref="A1:U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Somya Gupta</cp:lastModifiedBy>
  <dcterms:created xsi:type="dcterms:W3CDTF">2026-04-20T17:35:57Z</dcterms:created>
  <dcterms:modified xsi:type="dcterms:W3CDTF">2026-04-22T07:44:16Z</dcterms:modified>
</cp:coreProperties>
</file>