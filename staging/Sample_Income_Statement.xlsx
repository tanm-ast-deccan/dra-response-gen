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Continuing Funding\Deccan AI\Task-4\Input Files\"/>
    </mc:Choice>
  </mc:AlternateContent>
  <xr:revisionPtr revIDLastSave="0" documentId="13_ncr:1_{5ADF3302-BE0A-4007-BC5D-BB59E697087C}" xr6:coauthVersionLast="47" xr6:coauthVersionMax="47" xr10:uidLastSave="{00000000-0000-0000-0000-000000000000}"/>
  <bookViews>
    <workbookView xWindow="-110" yWindow="-110" windowWidth="19420" windowHeight="10300" xr2:uid="{07E5B363-4240-40BF-AFD2-A761FB2B3A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25" i="1"/>
  <c r="E19" i="1"/>
  <c r="E20" i="1" s="1"/>
  <c r="D29" i="1"/>
  <c r="D25" i="1"/>
  <c r="D19" i="1"/>
  <c r="D20" i="1" s="1"/>
  <c r="C19" i="1"/>
  <c r="D13" i="1"/>
  <c r="E13" i="1"/>
  <c r="D10" i="1"/>
  <c r="E10" i="1"/>
  <c r="D9" i="1"/>
  <c r="E9" i="1"/>
  <c r="D7" i="1"/>
  <c r="E7" i="1"/>
  <c r="D4" i="1"/>
  <c r="E4" i="1"/>
  <c r="C24" i="1"/>
  <c r="C25" i="1" s="1"/>
  <c r="C29" i="1" s="1"/>
  <c r="C9" i="1"/>
  <c r="C4" i="1"/>
  <c r="C7" i="1" s="1"/>
  <c r="C10" i="1" l="1"/>
  <c r="C13" i="1" l="1"/>
  <c r="C15" i="1" l="1"/>
  <c r="C20" i="1" l="1"/>
</calcChain>
</file>

<file path=xl/sharedStrings.xml><?xml version="1.0" encoding="utf-8"?>
<sst xmlns="http://schemas.openxmlformats.org/spreadsheetml/2006/main" count="37" uniqueCount="29">
  <si>
    <t>Year</t>
  </si>
  <si>
    <t>x</t>
  </si>
  <si>
    <t>Revenue</t>
  </si>
  <si>
    <t>Cost Of Materials Consumed</t>
  </si>
  <si>
    <t>%margin</t>
  </si>
  <si>
    <t>Gross Profit</t>
  </si>
  <si>
    <t>Operating And Direct Expenses</t>
  </si>
  <si>
    <t>Employee Benefit Expenses</t>
  </si>
  <si>
    <t>EBITDA</t>
  </si>
  <si>
    <t>Depreciation And Amortisation Expenses</t>
  </si>
  <si>
    <t>EBIT</t>
  </si>
  <si>
    <t>Interest Expenses</t>
  </si>
  <si>
    <t>Non-Operating Expenses</t>
  </si>
  <si>
    <t>Profit Before Taxes(PBT)</t>
  </si>
  <si>
    <t>Exceptional Items(Added)</t>
  </si>
  <si>
    <t>PBT After Exceptional Items</t>
  </si>
  <si>
    <t>Tax Expenses-Continued Operations</t>
  </si>
  <si>
    <t>Current Tax</t>
  </si>
  <si>
    <t>Deferred Tax</t>
  </si>
  <si>
    <t>Total Tax Expenses</t>
  </si>
  <si>
    <t>Proft After Taxes(PAT)</t>
  </si>
  <si>
    <t>Profit From Continuing Operations</t>
  </si>
  <si>
    <t>Profit From Discontinuing Operations</t>
  </si>
  <si>
    <t>Total Tax Expenses Discontinuing Operations</t>
  </si>
  <si>
    <t>Net Profit From Discontinuing Operations</t>
  </si>
  <si>
    <t>Profit For The Period</t>
  </si>
  <si>
    <t>Non Controling Interests</t>
  </si>
  <si>
    <t>Share Of Profit Of Associates</t>
  </si>
  <si>
    <t>Consolidated Profit/Loss After MI And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</si>
</sst>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10" fontId="10" fillId="2" borderId="2" xfId="1" applyNumberFormat="1" applyFont="1" applyFill="1" applyBorder="1" applyAlignment="1">
      <alignment wrapText="1"/>
    </xf>
    <xf numFmtId="2" fontId="6" fillId="2" borderId="2" xfId="0" applyNumberFormat="1" applyFont="1" applyFill="1" applyBorder="1" applyAlignment="1">
      <alignment wrapText="1"/>
    </xf>
    <xf numFmtId="2" fontId="9" fillId="2" borderId="2" xfId="0" applyNumberFormat="1" applyFont="1" applyFill="1" applyBorder="1" applyAlignment="1">
      <alignment wrapText="1"/>
    </xf>
    <xf numFmtId="2" fontId="8" fillId="2" borderId="2" xfId="0" applyNumberFormat="1" applyFont="1" applyFill="1" applyBorder="1" applyAlignment="1">
      <alignment wrapText="1"/>
    </xf>
    <xf numFmtId="0" fontId="0" fillId="0" borderId="2" xfId="0" applyBorder="1"/>
    <xf numFmtId="0" fontId="2" fillId="0" borderId="2" xfId="0" applyFont="1" applyBorder="1"/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2" fontId="4" fillId="2" borderId="0" xfId="0" applyNumberFormat="1" applyFont="1" applyFill="1"/>
    <xf numFmtId="2" fontId="6" fillId="3" borderId="1" xfId="0" applyNumberFormat="1" applyFont="1" applyFill="1" applyBorder="1" applyAlignment="1">
      <alignment horizontal="right" wrapText="1"/>
    </xf>
    <xf numFmtId="2" fontId="5" fillId="2" borderId="0" xfId="0" applyNumberFormat="1" applyFont="1" applyFill="1"/>
    <xf numFmtId="1" fontId="6" fillId="3" borderId="2" xfId="0" applyNumberFormat="1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5F93-7D6C-46E3-9B58-F9D3F85D9949}">
  <dimension ref="A1:G42"/>
  <sheetViews>
    <sheetView tabSelected="1" workbookViewId="0">
      <selection activeCell="G6" sqref="G6"/>
    </sheetView>
  </sheetViews>
  <sheetFormatPr defaultRowHeight="14.5" x14ac:dyDescent="0.35"/>
  <cols>
    <col min="1" max="1" width="2.6328125" style="1" customWidth="1"/>
    <col min="2" max="2" width="34.90625" bestFit="1" customWidth="1"/>
    <col min="3" max="5" width="14.90625" bestFit="1" customWidth="1"/>
  </cols>
  <sheetData>
    <row r="1" spans="1:7" s="22" customFormat="1" ht="13" x14ac:dyDescent="0.3">
      <c r="A1" s="20"/>
      <c r="B1" s="21" t="s">
        <v>0</v>
      </c>
      <c r="C1" s="23">
        <v>2009</v>
      </c>
      <c r="D1" s="23">
        <v>2010</v>
      </c>
      <c r="E1" s="23">
        <v>2011</v>
      </c>
    </row>
    <row r="2" spans="1:7" s="3" customFormat="1" ht="13" x14ac:dyDescent="0.3">
      <c r="A2" s="2" t="s">
        <v>1</v>
      </c>
      <c r="B2" s="4" t="s">
        <v>2</v>
      </c>
      <c r="C2" s="5">
        <v>110655.92</v>
      </c>
      <c r="D2" s="5">
        <v>116188.716</v>
      </c>
      <c r="E2" s="5">
        <v>122324.345</v>
      </c>
    </row>
    <row r="3" spans="1:7" s="3" customFormat="1" ht="13" x14ac:dyDescent="0.3">
      <c r="A3" s="2"/>
      <c r="B3" s="7" t="s">
        <v>3</v>
      </c>
      <c r="C3" s="8">
        <v>14320.98</v>
      </c>
      <c r="D3" s="8">
        <v>13905.78</v>
      </c>
      <c r="E3" s="8">
        <v>15690.07</v>
      </c>
      <c r="G3" s="2"/>
    </row>
    <row r="4" spans="1:7" s="3" customFormat="1" ht="13" x14ac:dyDescent="0.3">
      <c r="A4" s="2" t="s">
        <v>1</v>
      </c>
      <c r="B4" s="4" t="s">
        <v>5</v>
      </c>
      <c r="C4" s="10">
        <f>C2-C3</f>
        <v>96334.94</v>
      </c>
      <c r="D4" s="10">
        <f t="shared" ref="D4:E4" si="0">D2-D3</f>
        <v>102282.936</v>
      </c>
      <c r="E4" s="10">
        <f t="shared" si="0"/>
        <v>106634.27499999999</v>
      </c>
    </row>
    <row r="5" spans="1:7" s="3" customFormat="1" ht="13" x14ac:dyDescent="0.3">
      <c r="A5" s="2"/>
      <c r="B5" s="4" t="s">
        <v>6</v>
      </c>
      <c r="C5" s="8">
        <v>61325.08</v>
      </c>
      <c r="D5" s="8">
        <v>70152.320000000007</v>
      </c>
      <c r="E5" s="8">
        <v>68344.289999999994</v>
      </c>
    </row>
    <row r="6" spans="1:7" s="3" customFormat="1" ht="13" x14ac:dyDescent="0.3">
      <c r="A6" s="2"/>
      <c r="B6" s="4" t="s">
        <v>7</v>
      </c>
      <c r="C6" s="8">
        <v>13853.97</v>
      </c>
      <c r="D6" s="8">
        <v>14155.21</v>
      </c>
      <c r="E6" s="8">
        <v>14899.45</v>
      </c>
    </row>
    <row r="7" spans="1:7" s="3" customFormat="1" ht="13" x14ac:dyDescent="0.3">
      <c r="A7" s="2" t="s">
        <v>1</v>
      </c>
      <c r="B7" s="4" t="s">
        <v>8</v>
      </c>
      <c r="C7" s="10">
        <f>C4-C5-C6</f>
        <v>21155.89</v>
      </c>
      <c r="D7" s="10">
        <f t="shared" ref="D7:E7" si="1">D4-D5-D6</f>
        <v>17975.405999999995</v>
      </c>
      <c r="E7" s="10">
        <f t="shared" si="1"/>
        <v>23390.535</v>
      </c>
    </row>
    <row r="8" spans="1:7" s="3" customFormat="1" ht="13" x14ac:dyDescent="0.3">
      <c r="A8" s="2"/>
      <c r="B8" s="4" t="s">
        <v>9</v>
      </c>
      <c r="C8" s="8">
        <v>2369.9299999999998</v>
      </c>
      <c r="D8" s="8">
        <v>2409.56</v>
      </c>
      <c r="E8" s="8">
        <v>2388.59</v>
      </c>
    </row>
    <row r="9" spans="1:7" s="3" customFormat="1" ht="13" x14ac:dyDescent="0.3">
      <c r="A9" s="2"/>
      <c r="B9" s="9" t="s">
        <v>4</v>
      </c>
      <c r="C9" s="12">
        <f>C8/C2</f>
        <v>2.1417109902479685E-2</v>
      </c>
      <c r="D9" s="12">
        <f t="shared" ref="D9:E9" si="2">D8/D2</f>
        <v>2.0738330562152008E-2</v>
      </c>
      <c r="E9" s="12">
        <f t="shared" si="2"/>
        <v>1.9526693562103275E-2</v>
      </c>
    </row>
    <row r="10" spans="1:7" s="3" customFormat="1" ht="13" x14ac:dyDescent="0.3">
      <c r="A10" s="2" t="s">
        <v>1</v>
      </c>
      <c r="B10" s="4" t="s">
        <v>10</v>
      </c>
      <c r="C10" s="10">
        <f>C7-C8</f>
        <v>18785.96</v>
      </c>
      <c r="D10" s="10">
        <f t="shared" ref="D10:E10" si="3">D7-D8</f>
        <v>15565.845999999996</v>
      </c>
      <c r="E10" s="10">
        <f t="shared" si="3"/>
        <v>21001.945</v>
      </c>
    </row>
    <row r="11" spans="1:7" s="3" customFormat="1" ht="13" x14ac:dyDescent="0.3">
      <c r="A11" s="2"/>
      <c r="B11" s="4" t="s">
        <v>11</v>
      </c>
      <c r="C11" s="8">
        <v>3033.3</v>
      </c>
      <c r="D11" s="8">
        <v>1523.44</v>
      </c>
      <c r="E11" s="8">
        <v>2809.34</v>
      </c>
    </row>
    <row r="12" spans="1:7" s="3" customFormat="1" ht="13" x14ac:dyDescent="0.3">
      <c r="A12" s="2"/>
      <c r="B12" s="4" t="s">
        <v>12</v>
      </c>
      <c r="C12" s="8">
        <v>6986.73</v>
      </c>
      <c r="D12" s="8">
        <v>7000.42</v>
      </c>
      <c r="E12" s="8">
        <v>7491.3</v>
      </c>
    </row>
    <row r="13" spans="1:7" s="3" customFormat="1" ht="13" x14ac:dyDescent="0.3">
      <c r="A13" s="2" t="s">
        <v>1</v>
      </c>
      <c r="B13" s="4" t="s">
        <v>13</v>
      </c>
      <c r="C13" s="13">
        <f>C10-C11-C12</f>
        <v>8765.93</v>
      </c>
      <c r="D13" s="13">
        <f t="shared" ref="D13:E13" si="4">D10-D11-D12</f>
        <v>7041.9859999999953</v>
      </c>
      <c r="E13" s="13">
        <f t="shared" si="4"/>
        <v>10701.305</v>
      </c>
    </row>
    <row r="14" spans="1:7" s="3" customFormat="1" ht="13" x14ac:dyDescent="0.3">
      <c r="A14" s="2"/>
      <c r="B14" s="4" t="s">
        <v>14</v>
      </c>
      <c r="C14" s="8">
        <v>121.43</v>
      </c>
      <c r="D14" s="8">
        <v>127.50150000000001</v>
      </c>
      <c r="E14" s="8">
        <v>133.876575</v>
      </c>
    </row>
    <row r="15" spans="1:7" s="3" customFormat="1" ht="13" x14ac:dyDescent="0.3">
      <c r="A15" s="2"/>
      <c r="B15" s="4" t="s">
        <v>15</v>
      </c>
      <c r="C15" s="14">
        <f>C13+C14</f>
        <v>8887.36</v>
      </c>
      <c r="D15" s="14">
        <v>9331.728000000001</v>
      </c>
      <c r="E15" s="14">
        <v>9798.3144000000011</v>
      </c>
    </row>
    <row r="16" spans="1:7" s="3" customFormat="1" ht="13" x14ac:dyDescent="0.3">
      <c r="A16" s="2"/>
      <c r="B16" s="4" t="s">
        <v>16</v>
      </c>
      <c r="C16" s="6"/>
      <c r="D16" s="6">
        <v>21</v>
      </c>
      <c r="E16" s="6">
        <v>22.05</v>
      </c>
    </row>
    <row r="17" spans="1:5" s="3" customFormat="1" ht="13" x14ac:dyDescent="0.3">
      <c r="A17" s="2"/>
      <c r="B17" s="4" t="s">
        <v>17</v>
      </c>
      <c r="C17" s="8">
        <v>2834.35</v>
      </c>
      <c r="D17" s="8">
        <v>2976.0675000000001</v>
      </c>
      <c r="E17" s="8">
        <v>3124.8708750000001</v>
      </c>
    </row>
    <row r="18" spans="1:5" s="3" customFormat="1" ht="13" x14ac:dyDescent="0.3">
      <c r="A18" s="2"/>
      <c r="B18" s="4" t="s">
        <v>18</v>
      </c>
      <c r="C18" s="8">
        <v>-827.76</v>
      </c>
      <c r="D18" s="8">
        <v>-869.14800000000002</v>
      </c>
      <c r="E18" s="8">
        <v>-912.60540000000003</v>
      </c>
    </row>
    <row r="19" spans="1:5" s="3" customFormat="1" ht="13" x14ac:dyDescent="0.3">
      <c r="A19" s="2"/>
      <c r="B19" s="4" t="s">
        <v>19</v>
      </c>
      <c r="C19" s="6">
        <f>C17+C18</f>
        <v>2006.59</v>
      </c>
      <c r="D19" s="6">
        <f>D17+D18</f>
        <v>2106.9195</v>
      </c>
      <c r="E19" s="6">
        <f>E17+E18</f>
        <v>2212.2654750000002</v>
      </c>
    </row>
    <row r="20" spans="1:5" s="3" customFormat="1" ht="13" x14ac:dyDescent="0.3">
      <c r="A20" s="2"/>
      <c r="B20" s="4" t="s">
        <v>20</v>
      </c>
      <c r="C20" s="15">
        <f>C15-C19</f>
        <v>6880.77</v>
      </c>
      <c r="D20" s="15">
        <f>D15-D19</f>
        <v>7224.808500000001</v>
      </c>
      <c r="E20" s="15">
        <f>E15-E19</f>
        <v>7586.048925000001</v>
      </c>
    </row>
    <row r="21" spans="1:5" s="3" customFormat="1" ht="13" x14ac:dyDescent="0.3">
      <c r="A21" s="2"/>
      <c r="B21" s="4" t="s">
        <v>21</v>
      </c>
      <c r="C21" s="11">
        <v>6880.77</v>
      </c>
      <c r="D21" s="11">
        <v>6881.77</v>
      </c>
      <c r="E21" s="11">
        <v>6882.77</v>
      </c>
    </row>
    <row r="22" spans="1:5" s="3" customFormat="1" ht="13" x14ac:dyDescent="0.3">
      <c r="A22" s="2" t="s">
        <v>1</v>
      </c>
      <c r="B22" s="4" t="s">
        <v>22</v>
      </c>
      <c r="C22" s="8">
        <v>0</v>
      </c>
      <c r="D22" s="8">
        <v>0</v>
      </c>
      <c r="E22" s="8">
        <v>0</v>
      </c>
    </row>
    <row r="23" spans="1:5" s="3" customFormat="1" ht="26" x14ac:dyDescent="0.3">
      <c r="A23" s="2"/>
      <c r="B23" s="4" t="s">
        <v>23</v>
      </c>
      <c r="C23" s="8">
        <v>0</v>
      </c>
      <c r="D23" s="8">
        <v>0</v>
      </c>
      <c r="E23" s="8">
        <v>0</v>
      </c>
    </row>
    <row r="24" spans="1:5" s="3" customFormat="1" x14ac:dyDescent="0.35">
      <c r="A24" s="2"/>
      <c r="B24" s="4" t="s">
        <v>24</v>
      </c>
      <c r="C24" s="16">
        <f>C22-C23</f>
        <v>0</v>
      </c>
      <c r="D24" s="16">
        <v>0</v>
      </c>
      <c r="E24" s="16">
        <v>0</v>
      </c>
    </row>
    <row r="25" spans="1:5" s="3" customFormat="1" x14ac:dyDescent="0.35">
      <c r="A25" s="2" t="s">
        <v>1</v>
      </c>
      <c r="B25" s="4" t="s">
        <v>25</v>
      </c>
      <c r="C25" s="17">
        <f>C21+C24</f>
        <v>6880.77</v>
      </c>
      <c r="D25" s="17">
        <f>D21+D24</f>
        <v>6881.77</v>
      </c>
      <c r="E25" s="17">
        <f>E21+E24</f>
        <v>6882.77</v>
      </c>
    </row>
    <row r="26" spans="1:5" s="3" customFormat="1" ht="13" x14ac:dyDescent="0.3">
      <c r="A26" s="2" t="s">
        <v>1</v>
      </c>
      <c r="B26" s="9"/>
      <c r="C26" s="6"/>
      <c r="D26" s="6">
        <v>0</v>
      </c>
      <c r="E26" s="6">
        <v>0</v>
      </c>
    </row>
    <row r="27" spans="1:5" s="3" customFormat="1" ht="13" x14ac:dyDescent="0.3">
      <c r="A27" s="2"/>
      <c r="B27" s="4" t="s">
        <v>26</v>
      </c>
      <c r="C27" s="8">
        <v>444.27</v>
      </c>
      <c r="D27" s="8">
        <v>466.48349999999999</v>
      </c>
      <c r="E27" s="8">
        <v>489.80767500000002</v>
      </c>
    </row>
    <row r="28" spans="1:5" s="3" customFormat="1" ht="13" x14ac:dyDescent="0.3">
      <c r="A28" s="2"/>
      <c r="B28" s="4" t="s">
        <v>27</v>
      </c>
      <c r="C28" s="8">
        <v>395.27</v>
      </c>
      <c r="D28" s="8">
        <v>415.0335</v>
      </c>
      <c r="E28" s="8">
        <v>435.78517500000004</v>
      </c>
    </row>
    <row r="29" spans="1:5" s="3" customFormat="1" ht="26" x14ac:dyDescent="0.3">
      <c r="A29" s="2"/>
      <c r="B29" s="4" t="s">
        <v>28</v>
      </c>
      <c r="C29" s="11">
        <f>C25-C27-C28</f>
        <v>6041.23</v>
      </c>
      <c r="D29" s="11">
        <f>D25-D27-D28</f>
        <v>6000.2530000000006</v>
      </c>
      <c r="E29" s="11">
        <f>E25-E27-E28</f>
        <v>5957.1771500000004</v>
      </c>
    </row>
    <row r="30" spans="1:5" s="3" customFormat="1" ht="13.5" thickBot="1" x14ac:dyDescent="0.35">
      <c r="A30" s="2" t="s">
        <v>1</v>
      </c>
      <c r="B30" s="18"/>
      <c r="C30" s="19"/>
      <c r="D30" s="19"/>
      <c r="E30" s="19"/>
    </row>
    <row r="31" spans="1:5" s="3" customFormat="1" x14ac:dyDescent="0.35">
      <c r="A31" s="2"/>
      <c r="B31"/>
      <c r="C31"/>
      <c r="D31"/>
      <c r="E31"/>
    </row>
    <row r="32" spans="1:5" s="3" customFormat="1" x14ac:dyDescent="0.35">
      <c r="A32" s="2"/>
      <c r="B32"/>
      <c r="C32"/>
      <c r="D32"/>
      <c r="E32"/>
    </row>
    <row r="33" spans="1:5" s="3" customFormat="1" x14ac:dyDescent="0.35">
      <c r="A33" s="2"/>
      <c r="B33"/>
      <c r="C33"/>
      <c r="D33"/>
      <c r="E33"/>
    </row>
    <row r="34" spans="1:5" s="3" customFormat="1" x14ac:dyDescent="0.35">
      <c r="A34" s="2"/>
      <c r="B34"/>
      <c r="C34"/>
      <c r="D34"/>
      <c r="E34"/>
    </row>
    <row r="35" spans="1:5" s="3" customFormat="1" x14ac:dyDescent="0.35">
      <c r="A35" s="2"/>
      <c r="B35"/>
      <c r="C35"/>
      <c r="D35"/>
      <c r="E35"/>
    </row>
    <row r="36" spans="1:5" s="3" customFormat="1" x14ac:dyDescent="0.35">
      <c r="A36" s="2"/>
      <c r="B36"/>
      <c r="C36"/>
      <c r="D36"/>
      <c r="E36"/>
    </row>
    <row r="37" spans="1:5" s="3" customFormat="1" x14ac:dyDescent="0.35">
      <c r="A37" s="2"/>
      <c r="B37"/>
      <c r="C37"/>
      <c r="D37"/>
      <c r="E37"/>
    </row>
    <row r="38" spans="1:5" s="3" customFormat="1" x14ac:dyDescent="0.35">
      <c r="A38" s="2"/>
      <c r="B38"/>
      <c r="C38"/>
      <c r="D38"/>
      <c r="E38"/>
    </row>
    <row r="39" spans="1:5" s="3" customFormat="1" x14ac:dyDescent="0.35">
      <c r="A39" s="2"/>
      <c r="B39"/>
      <c r="C39"/>
      <c r="D39"/>
      <c r="E39"/>
    </row>
    <row r="40" spans="1:5" s="3" customFormat="1" x14ac:dyDescent="0.35">
      <c r="A40" s="2"/>
      <c r="B40"/>
      <c r="C40"/>
      <c r="D40"/>
      <c r="E40"/>
    </row>
    <row r="41" spans="1:5" s="3" customFormat="1" x14ac:dyDescent="0.35">
      <c r="A41" s="2"/>
      <c r="B41"/>
      <c r="C41"/>
      <c r="D41"/>
      <c r="E41"/>
    </row>
    <row r="42" spans="1:5" s="3" customFormat="1" x14ac:dyDescent="0.35">
      <c r="A42" s="2"/>
      <c r="B42"/>
      <c r="C42"/>
      <c r="D42"/>
      <c r="E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 GHOSH</dc:creator>
  <cp:lastModifiedBy>ASHIS GHOSH</cp:lastModifiedBy>
  <dcterms:created xsi:type="dcterms:W3CDTF">2026-02-18T17:47:33Z</dcterms:created>
  <dcterms:modified xsi:type="dcterms:W3CDTF">2026-04-08T10:46:25Z</dcterms:modified>
</cp:coreProperties>
</file>