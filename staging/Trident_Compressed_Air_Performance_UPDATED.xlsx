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kul\Downloads\"/>
    </mc:Choice>
  </mc:AlternateContent>
  <xr:revisionPtr revIDLastSave="0" documentId="13_ncr:1_{5E49D05E-D939-46D0-9DCE-2C41E479BEC4}" xr6:coauthVersionLast="47" xr6:coauthVersionMax="47" xr10:uidLastSave="{00000000-0000-0000-0000-000000000000}"/>
  <bookViews>
    <workbookView xWindow="-120" yWindow="-120" windowWidth="19770" windowHeight="11760" xr2:uid="{00000000-000D-0000-FFFF-FFFF00000000}"/>
  </bookViews>
  <sheets>
    <sheet name="Sheet1" sheetId="1" r:id="rId1"/>
    <sheet name="Sheet2" sheetId="2" state="hidden" r:id="rId2"/>
    <sheet name="Maintenance_Notes" sheetId="3" r:id="rId3"/>
  </sheets>
  <calcPr calcId="181029"/>
</workbook>
</file>

<file path=xl/calcChain.xml><?xml version="1.0" encoding="utf-8"?>
<calcChain xmlns="http://schemas.openxmlformats.org/spreadsheetml/2006/main">
  <c r="H17" i="1" l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<sst xmlns="http://schemas.openxmlformats.org/spreadsheetml/2006/main" count="41" uniqueCount="41">
  <si>
    <t>Compressor_ID</t>
  </si>
  <si>
    <t>Rated_kW</t>
  </si>
  <si>
    <t>Avg_Load_%</t>
  </si>
  <si>
    <t>Idle_Time_%</t>
  </si>
  <si>
    <t>Operating_Hours_Month</t>
  </si>
  <si>
    <t>Reported_Leakage_%</t>
  </si>
  <si>
    <t>Overlap_%</t>
  </si>
  <si>
    <t>Adjusted_Idle_kWh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</si>
  <si>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</si>
  <si>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</si>
  <si>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</si>
  <si>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</si>
  <si>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</si>
  <si>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</si>
  <si>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</si>
  <si>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</si>
  <si>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</si>
  <si>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</si>
  <si>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</si>
  <si>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</si>
  <si>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</si>
  <si>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</si>
  <si>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</si>
  <si>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</si>
  <si>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Maintenance_Notes</t>
  </si>
  <si>
    <t>Text Content:</t>
  </si>
  <si>
    <t>Compressors below 25% load are logged under productive energy.</t>
  </si>
  <si>
    <t>Idle load below 20% does not trigger alert.</t>
  </si>
  <si>
    <t>Leakage % is estimated from quarterly audit.</t>
  </si>
  <si>
    <t>Idle energy is embedded within plant energy summary.</t>
  </si>
  <si>
    <t>Overlapping idle time may be double counted in plant dashboard.</t>
  </si>
  <si>
    <t>No flow meters installed on prototype test air lines.</t>
  </si>
  <si>
    <t>Maintenance Audit Note — Compressor Idle Energy Adjustment</t>
  </si>
  <si>
    <t>Maintenance logs confirm 12% of idle compressor runtime is double-counted during weekend standby and night shift idle overlap.</t>
  </si>
  <si>
    <t>Correction Rule:</t>
  </si>
  <si>
    <t>Adjusted_Idle_kWh = Idle_Compressor_kWh × (1 − 12%)</t>
  </si>
  <si>
    <t>Operational Basis:</t>
  </si>
  <si>
    <t>Overlap occurs when base-load compressor remains active during scheduled idle periods.</t>
  </si>
  <si>
    <t>Confirmed via maintenance runtime logs and PLC compressor cycling data.</t>
  </si>
  <si>
    <t>This adjustment applies to all months with idle compressor runtime reported.</t>
  </si>
  <si>
    <t>No additional assumptions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</si>
</sst>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K6" sqref="K6"/>
    </sheetView>
  </sheetViews>
  <sheetFormatPr defaultRowHeight="15" x14ac:dyDescent="0.25"/>
  <sheetData>
    <row r="1" spans="1:8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</row>
    <row r="2" spans="1:8" x14ac:dyDescent="0.25">
      <c r="A2" s="2" t="s">
        <v>8</v>
      </c>
      <c r="B2" s="2">
        <v>160</v>
      </c>
      <c r="C2" s="2">
        <v>72</v>
      </c>
      <c r="D2" s="2">
        <v>18</v>
      </c>
      <c r="E2" s="2">
        <v>620</v>
      </c>
      <c r="F2" s="2">
        <v>12</v>
      </c>
      <c r="G2">
        <v>0.12</v>
      </c>
      <c r="H2">
        <f t="shared" ref="H2:H17" si="0">D2*(1-G2)</f>
        <v>15.84</v>
      </c>
    </row>
    <row r="3" spans="1:8" x14ac:dyDescent="0.25">
      <c r="A3" s="2" t="s">
        <v>9</v>
      </c>
      <c r="B3" s="2">
        <v>160</v>
      </c>
      <c r="C3" s="2">
        <v>68</v>
      </c>
      <c r="D3" s="2">
        <v>22</v>
      </c>
      <c r="E3" s="2">
        <v>615</v>
      </c>
      <c r="F3" s="2">
        <v>14</v>
      </c>
      <c r="G3">
        <v>0.12</v>
      </c>
      <c r="H3">
        <f t="shared" si="0"/>
        <v>19.36</v>
      </c>
    </row>
    <row r="4" spans="1:8" x14ac:dyDescent="0.25">
      <c r="A4" s="2" t="s">
        <v>10</v>
      </c>
      <c r="B4" s="2">
        <v>200</v>
      </c>
      <c r="C4" s="2">
        <v>75</v>
      </c>
      <c r="D4" s="2">
        <v>16</v>
      </c>
      <c r="E4" s="2">
        <v>630</v>
      </c>
      <c r="F4" s="2">
        <v>11</v>
      </c>
      <c r="G4">
        <v>0.12</v>
      </c>
      <c r="H4">
        <f t="shared" si="0"/>
        <v>14.08</v>
      </c>
    </row>
    <row r="5" spans="1:8" x14ac:dyDescent="0.25">
      <c r="A5" s="2" t="s">
        <v>11</v>
      </c>
      <c r="B5" s="2">
        <v>200</v>
      </c>
      <c r="C5" s="2">
        <v>70</v>
      </c>
      <c r="D5" s="2">
        <v>20</v>
      </c>
      <c r="E5" s="2">
        <v>625</v>
      </c>
      <c r="F5" s="2">
        <v>13</v>
      </c>
      <c r="G5">
        <v>0.12</v>
      </c>
      <c r="H5">
        <f t="shared" si="0"/>
        <v>17.600000000000001</v>
      </c>
    </row>
    <row r="6" spans="1:8" x14ac:dyDescent="0.25">
      <c r="A6" s="2" t="s">
        <v>12</v>
      </c>
      <c r="B6" s="2">
        <v>250</v>
      </c>
      <c r="C6" s="2">
        <v>78</v>
      </c>
      <c r="D6" s="2">
        <v>14</v>
      </c>
      <c r="E6" s="2">
        <v>640</v>
      </c>
      <c r="F6" s="2">
        <v>10</v>
      </c>
      <c r="G6">
        <v>0.12</v>
      </c>
      <c r="H6">
        <f t="shared" si="0"/>
        <v>12.32</v>
      </c>
    </row>
    <row r="7" spans="1:8" x14ac:dyDescent="0.25">
      <c r="A7" s="2" t="s">
        <v>13</v>
      </c>
      <c r="B7" s="2">
        <v>250</v>
      </c>
      <c r="C7" s="2">
        <v>74</v>
      </c>
      <c r="D7" s="2">
        <v>17</v>
      </c>
      <c r="E7" s="2">
        <v>635</v>
      </c>
      <c r="F7" s="2">
        <v>12</v>
      </c>
      <c r="G7">
        <v>0.12</v>
      </c>
      <c r="H7">
        <f t="shared" si="0"/>
        <v>14.96</v>
      </c>
    </row>
    <row r="8" spans="1:8" x14ac:dyDescent="0.25">
      <c r="A8" s="2" t="s">
        <v>14</v>
      </c>
      <c r="B8" s="2">
        <v>180</v>
      </c>
      <c r="C8" s="2">
        <v>69</v>
      </c>
      <c r="D8" s="2">
        <v>21</v>
      </c>
      <c r="E8" s="2">
        <v>618</v>
      </c>
      <c r="F8" s="2">
        <v>15</v>
      </c>
      <c r="G8">
        <v>0.12</v>
      </c>
      <c r="H8">
        <f t="shared" si="0"/>
        <v>18.48</v>
      </c>
    </row>
    <row r="9" spans="1:8" x14ac:dyDescent="0.25">
      <c r="A9" s="2" t="s">
        <v>15</v>
      </c>
      <c r="B9" s="2">
        <v>180</v>
      </c>
      <c r="C9" s="2">
        <v>73</v>
      </c>
      <c r="D9" s="2">
        <v>19</v>
      </c>
      <c r="E9" s="2">
        <v>622</v>
      </c>
      <c r="F9" s="2">
        <v>13</v>
      </c>
      <c r="G9">
        <v>0.12</v>
      </c>
      <c r="H9">
        <f t="shared" si="0"/>
        <v>16.72</v>
      </c>
    </row>
    <row r="10" spans="1:8" x14ac:dyDescent="0.25">
      <c r="A10" s="2" t="s">
        <v>16</v>
      </c>
      <c r="B10" s="2">
        <v>150</v>
      </c>
      <c r="C10" s="2">
        <v>66</v>
      </c>
      <c r="D10" s="2">
        <v>24</v>
      </c>
      <c r="E10" s="2">
        <v>610</v>
      </c>
      <c r="F10" s="2">
        <v>16</v>
      </c>
      <c r="G10">
        <v>0.12</v>
      </c>
      <c r="H10">
        <f t="shared" si="0"/>
        <v>21.12</v>
      </c>
    </row>
    <row r="11" spans="1:8" x14ac:dyDescent="0.25">
      <c r="A11" s="2" t="s">
        <v>17</v>
      </c>
      <c r="B11" s="2">
        <v>150</v>
      </c>
      <c r="C11" s="2">
        <v>71</v>
      </c>
      <c r="D11" s="2">
        <v>18</v>
      </c>
      <c r="E11" s="2">
        <v>605</v>
      </c>
      <c r="F11" s="2">
        <v>14</v>
      </c>
      <c r="G11">
        <v>0.12</v>
      </c>
      <c r="H11">
        <f t="shared" si="0"/>
        <v>15.84</v>
      </c>
    </row>
    <row r="12" spans="1:8" x14ac:dyDescent="0.25">
      <c r="A12" s="2" t="s">
        <v>18</v>
      </c>
      <c r="B12" s="2">
        <v>210</v>
      </c>
      <c r="C12" s="2">
        <v>76</v>
      </c>
      <c r="D12" s="2">
        <v>15</v>
      </c>
      <c r="E12" s="2">
        <v>642</v>
      </c>
      <c r="F12" s="2">
        <v>11</v>
      </c>
      <c r="G12">
        <v>0.12</v>
      </c>
      <c r="H12">
        <f t="shared" si="0"/>
        <v>13.2</v>
      </c>
    </row>
    <row r="13" spans="1:8" x14ac:dyDescent="0.25">
      <c r="A13" s="2" t="s">
        <v>19</v>
      </c>
      <c r="B13" s="2">
        <v>210</v>
      </c>
      <c r="C13" s="2">
        <v>72</v>
      </c>
      <c r="D13" s="2">
        <v>19</v>
      </c>
      <c r="E13" s="2">
        <v>638</v>
      </c>
      <c r="F13" s="2">
        <v>12</v>
      </c>
      <c r="G13">
        <v>0.12</v>
      </c>
      <c r="H13">
        <f t="shared" si="0"/>
        <v>16.72</v>
      </c>
    </row>
    <row r="14" spans="1:8" x14ac:dyDescent="0.25">
      <c r="A14" s="2" t="s">
        <v>20</v>
      </c>
      <c r="B14" s="2">
        <v>175</v>
      </c>
      <c r="C14" s="2">
        <v>67</v>
      </c>
      <c r="D14" s="2">
        <v>23</v>
      </c>
      <c r="E14" s="2">
        <v>612</v>
      </c>
      <c r="F14" s="2">
        <v>15</v>
      </c>
      <c r="G14">
        <v>0.12</v>
      </c>
      <c r="H14">
        <f t="shared" si="0"/>
        <v>20.239999999999998</v>
      </c>
    </row>
    <row r="15" spans="1:8" x14ac:dyDescent="0.25">
      <c r="A15" s="2" t="s">
        <v>21</v>
      </c>
      <c r="B15" s="2">
        <v>175</v>
      </c>
      <c r="C15" s="2">
        <v>70</v>
      </c>
      <c r="D15" s="2">
        <v>20</v>
      </c>
      <c r="E15" s="2">
        <v>620</v>
      </c>
      <c r="F15" s="2">
        <v>13</v>
      </c>
      <c r="G15">
        <v>0.12</v>
      </c>
      <c r="H15">
        <f t="shared" si="0"/>
        <v>17.600000000000001</v>
      </c>
    </row>
    <row r="16" spans="1:8" x14ac:dyDescent="0.25">
      <c r="A16" s="2" t="s">
        <v>22</v>
      </c>
      <c r="B16" s="2">
        <v>190</v>
      </c>
      <c r="C16" s="2">
        <v>74</v>
      </c>
      <c r="D16" s="2">
        <v>17</v>
      </c>
      <c r="E16" s="2">
        <v>630</v>
      </c>
      <c r="F16" s="2">
        <v>12</v>
      </c>
      <c r="G16">
        <v>0.12</v>
      </c>
      <c r="H16">
        <f t="shared" si="0"/>
        <v>14.96</v>
      </c>
    </row>
    <row r="17" spans="1:8" x14ac:dyDescent="0.25">
      <c r="A17" s="2" t="s">
        <v>23</v>
      </c>
      <c r="B17" s="2">
        <v>190</v>
      </c>
      <c r="C17" s="2">
        <v>73</v>
      </c>
      <c r="D17" s="2">
        <v>18</v>
      </c>
      <c r="E17" s="2">
        <v>628</v>
      </c>
      <c r="F17" s="2">
        <v>12</v>
      </c>
      <c r="G17">
        <v>0.12</v>
      </c>
      <c r="H17">
        <f t="shared" si="0"/>
        <v>15.84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>
      <selection activeCell="A12" sqref="A12"/>
    </sheetView>
  </sheetViews>
  <sheetFormatPr defaultRowHeight="15" x14ac:dyDescent="0.25"/>
  <cols>
    <col min="1" max="1" width="74.7109375" customWidth="1"/>
  </cols>
  <sheetData>
    <row r="1" spans="1:1" ht="23.25" customHeight="1" x14ac:dyDescent="0.25">
      <c r="A1" s="3" t="s">
        <v>24</v>
      </c>
    </row>
    <row r="3" spans="1:1" x14ac:dyDescent="0.25">
      <c r="A3" t="s">
        <v>25</v>
      </c>
    </row>
    <row r="4" spans="1:1" x14ac:dyDescent="0.25">
      <c r="A4" s="4"/>
    </row>
    <row r="5" spans="1:1" x14ac:dyDescent="0.25">
      <c r="A5" s="4" t="s">
        <v>26</v>
      </c>
    </row>
    <row r="6" spans="1:1" x14ac:dyDescent="0.25">
      <c r="A6" s="4"/>
    </row>
    <row r="7" spans="1:1" x14ac:dyDescent="0.25">
      <c r="A7" s="4" t="s">
        <v>27</v>
      </c>
    </row>
    <row r="8" spans="1:1" x14ac:dyDescent="0.25">
      <c r="A8" s="4"/>
    </row>
    <row r="9" spans="1:1" x14ac:dyDescent="0.25">
      <c r="A9" s="4" t="s">
        <v>28</v>
      </c>
    </row>
    <row r="10" spans="1:1" x14ac:dyDescent="0.25">
      <c r="A10" s="4"/>
    </row>
    <row r="11" spans="1:1" x14ac:dyDescent="0.25">
      <c r="A11" s="4" t="s">
        <v>29</v>
      </c>
    </row>
    <row r="12" spans="1:1" x14ac:dyDescent="0.25">
      <c r="A12" s="4"/>
    </row>
    <row r="13" spans="1:1" x14ac:dyDescent="0.25">
      <c r="A13" s="4" t="s">
        <v>30</v>
      </c>
    </row>
    <row r="14" spans="1:1" x14ac:dyDescent="0.25">
      <c r="A14" s="4"/>
    </row>
    <row r="15" spans="1:1" x14ac:dyDescent="0.25">
      <c r="A15" s="4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"/>
  <sheetViews>
    <sheetView workbookViewId="0"/>
  </sheetViews>
  <sheetFormatPr defaultRowHeight="15" x14ac:dyDescent="0.25"/>
  <sheetData>
    <row r="1" spans="1:1" x14ac:dyDescent="0.25">
      <c r="A1" t="s">
        <v>32</v>
      </c>
    </row>
    <row r="3" spans="1:1" x14ac:dyDescent="0.25">
      <c r="A3" t="s">
        <v>33</v>
      </c>
    </row>
    <row r="5" spans="1:1" x14ac:dyDescent="0.25">
      <c r="A5" t="s">
        <v>34</v>
      </c>
    </row>
    <row r="6" spans="1:1" x14ac:dyDescent="0.25">
      <c r="A6" t="s">
        <v>35</v>
      </c>
    </row>
    <row r="8" spans="1:1" x14ac:dyDescent="0.25">
      <c r="A8" t="s">
        <v>36</v>
      </c>
    </row>
    <row r="9" spans="1:1" x14ac:dyDescent="0.25">
      <c r="A9" t="s">
        <v>37</v>
      </c>
    </row>
    <row r="10" spans="1:1" x14ac:dyDescent="0.25">
      <c r="A10" t="s">
        <v>38</v>
      </c>
    </row>
    <row r="12" spans="1:1" x14ac:dyDescent="0.25">
      <c r="A12" t="s">
        <v>39</v>
      </c>
    </row>
    <row r="13" spans="1:1" x14ac:dyDescent="0.25">
      <c r="A13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Maintenance_Notes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 BASU</dc:creator>
  <cp:lastModifiedBy>MUKUL BASU</cp:lastModifiedBy>
  <dcterms:created xsi:type="dcterms:W3CDTF">2026-02-24T07:07:23Z</dcterms:created>
  <dcterms:modified xsi:type="dcterms:W3CDTF">2026-04-11T10:21:23Z</dcterms:modified>
</cp:coreProperties>
</file>