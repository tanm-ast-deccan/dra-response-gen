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 &amp; Inputs" sheetId="1" state="visible" r:id="rId1"/>
    <sheet xmlns:r="http://schemas.openxmlformats.org/officeDocument/2006/relationships" name="SKU Cost Build" sheetId="2" state="visible" r:id="rId2"/>
    <sheet xmlns:r="http://schemas.openxmlformats.org/officeDocument/2006/relationships" name="FY24 Historical Cost (Archive)" sheetId="3" state="visible" r:id="rId3"/>
    <sheet xmlns:r="http://schemas.openxmlformats.org/officeDocument/2006/relationships" name="Vendor Master (All Categorie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000000"/>
      <sz val="9"/>
    </font>
    <font>
      <name val="Arial"/>
      <b val="1"/>
      <color rgb="00FF0000"/>
      <sz val="9"/>
    </font>
    <font>
      <name val="Arial"/>
      <i val="1"/>
      <color rgb="00000000"/>
      <sz val="8"/>
    </font>
    <font>
      <name val="Arial"/>
      <b val="1"/>
      <color rgb="00000000"/>
      <sz val="10"/>
    </font>
    <font>
      <name val="Arial"/>
      <b val="1"/>
      <color rgb="002E75B6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8" customWidth="1" min="3" max="3"/>
    <col width="18" customWidth="1" min="4" max="4"/>
  </cols>
  <sheetData>
    <row r="1" ht="22" customHeight="1">
      <c r="A1" s="1" t="inlineStr">
        <is>
          <t>SKB FOOD PRODUCTS PVT. LTD. — PACKAGING PROCUREMENT MODEL</t>
        </is>
      </c>
      <c r="B1" s="2" t="n"/>
      <c r="C1" s="2" t="n"/>
      <c r="D1" s="3" t="n"/>
    </row>
    <row r="2" ht="16" customHeight="1">
      <c r="A2" s="4" t="inlineStr">
        <is>
          <t>Assumptions &amp; Inputs — FY 2024-25  |  CONFIDENTIAL — FOR INTERNAL USE ONLY</t>
        </is>
      </c>
      <c r="B2" s="2" t="n"/>
      <c r="C2" s="2" t="n"/>
      <c r="D2" s="3" t="n"/>
    </row>
    <row r="3" ht="8" customHeight="1"/>
    <row r="4" ht="18" customHeight="1">
      <c r="A4" s="4" t="inlineStr">
        <is>
          <t>SECTION A: ANNUAL PROCUREMENT VOLUMES</t>
        </is>
      </c>
      <c r="B4" s="2" t="n"/>
      <c r="C4" s="2" t="n"/>
      <c r="D4" s="3" t="n"/>
    </row>
    <row r="5" ht="16" customHeight="1">
      <c r="A5" s="5" t="inlineStr">
        <is>
          <t>Input Parameter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Source / Remark</t>
        </is>
      </c>
    </row>
    <row r="6" ht="14" customHeight="1">
      <c r="A6" s="6" t="inlineStr">
        <is>
          <t>Annual packaging requirement — Roasted Snacks SKU (250g pouch)</t>
        </is>
      </c>
      <c r="B6" s="7" t="n">
        <v>4200000</v>
      </c>
      <c r="C6" s="7" t="inlineStr">
        <is>
          <t>pouches/year</t>
        </is>
      </c>
      <c r="D6" s="8" t="inlineStr">
        <is>
          <t>Production Planning — FY25 budget</t>
        </is>
      </c>
    </row>
    <row r="7" ht="14" customHeight="1">
      <c r="A7" s="9" t="inlineStr">
        <is>
          <t>Annual packaging requirement — Breakfast Cereal SKU (500g pouch)</t>
        </is>
      </c>
      <c r="B7" s="10" t="n">
        <v>1800000</v>
      </c>
      <c r="C7" s="10" t="inlineStr">
        <is>
          <t>pouches/year</t>
        </is>
      </c>
      <c r="D7" s="11" t="inlineStr">
        <is>
          <t>Production Planning — FY25 budget</t>
        </is>
      </c>
    </row>
    <row r="8" ht="14" customHeight="1">
      <c r="A8" s="6" t="inlineStr">
        <is>
          <t>Annual packaging requirement — Vermicelli (200g pouch)</t>
        </is>
      </c>
      <c r="B8" s="7" t="n">
        <v>2600000</v>
      </c>
      <c r="C8" s="7" t="inlineStr">
        <is>
          <t>pouches/year</t>
        </is>
      </c>
      <c r="D8" s="8" t="inlineStr">
        <is>
          <t>Production Planning — FY25 budget</t>
        </is>
      </c>
    </row>
    <row r="9" ht="14" customHeight="1">
      <c r="A9" s="9" t="inlineStr">
        <is>
          <t>Annual packaging requirement — Dry Fruits mix (1 kg stand-up pouch)</t>
        </is>
      </c>
      <c r="B9" s="10" t="n">
        <v>950000</v>
      </c>
      <c r="C9" s="10" t="inlineStr">
        <is>
          <t>pouches/year</t>
        </is>
      </c>
      <c r="D9" s="11" t="inlineStr">
        <is>
          <t>Production Planning — FY25 budget</t>
        </is>
      </c>
    </row>
    <row r="10" ht="14" customHeight="1">
      <c r="A10" s="6" t="inlineStr">
        <is>
          <t>TOTAL pouches across all SKUs (weighted blended)</t>
        </is>
      </c>
      <c r="B10" s="7" t="n">
        <v>9550000</v>
      </c>
      <c r="C10" s="7" t="inlineStr">
        <is>
          <t>pouches/year</t>
        </is>
      </c>
      <c r="D10" s="8" t="inlineStr">
        <is>
          <t>Sum of above</t>
        </is>
      </c>
    </row>
    <row r="11" ht="8" customHeight="1"/>
    <row r="12" ht="18" customHeight="1">
      <c r="A12" s="4" t="inlineStr">
        <is>
          <t>SECTION B: SUPPLIER BASE PRICE COMPARISON (per 1,000 pouches)</t>
        </is>
      </c>
      <c r="B12" s="2" t="n"/>
      <c r="C12" s="2" t="n"/>
      <c r="D12" s="3" t="n"/>
    </row>
    <row r="13" ht="16" customHeight="1">
      <c r="A13" s="5" t="inlineStr">
        <is>
          <t>Cost Parameter</t>
        </is>
      </c>
      <c r="B13" s="5" t="inlineStr">
        <is>
          <t>Supplier A — Pragati Flex (Delhi)</t>
        </is>
      </c>
      <c r="C13" s="5" t="inlineStr">
        <is>
          <t>Supplier B — Vardhman Packtech (Ludhiana)</t>
        </is>
      </c>
      <c r="D13" s="5" t="inlineStr">
        <is>
          <t>Remark</t>
        </is>
      </c>
    </row>
    <row r="14" ht="14" customHeight="1">
      <c r="A14" s="6" t="inlineStr">
        <is>
          <t>Base laminate price (₹ per 1,000 pouches)</t>
        </is>
      </c>
      <c r="B14" s="7" t="n">
        <v>1840</v>
      </c>
      <c r="C14" s="7" t="n">
        <v>1710</v>
      </c>
      <c r="D14" s="8" t="inlineStr">
        <is>
          <t>Quoted FY25; Supplier B = new vendor, 7.1% cheaper on base price</t>
        </is>
      </c>
    </row>
    <row r="15" ht="14" customHeight="1">
      <c r="A15" s="9" t="inlineStr">
        <is>
          <t>Inward freight — Delhi plant (₹ per 1,000 pouches)</t>
        </is>
      </c>
      <c r="B15" s="10" t="n">
        <v>38</v>
      </c>
      <c r="C15" s="10" t="n">
        <v>87</v>
      </c>
      <c r="D15" s="11" t="inlineStr">
        <is>
          <t>Supplier A local; Supplier B from Ludhiana via road</t>
        </is>
      </c>
    </row>
    <row r="16" ht="14" customHeight="1">
      <c r="A16" s="6" t="inlineStr">
        <is>
          <t>Quality inspection &amp; incoming QC (₹ per 1,000 pouches)</t>
        </is>
      </c>
      <c r="B16" s="7" t="n">
        <v>12</v>
      </c>
      <c r="C16" s="7" t="n">
        <v>12</v>
      </c>
      <c r="D16" s="8" t="inlineStr">
        <is>
          <t>Uniform — internal QC team cost</t>
        </is>
      </c>
    </row>
    <row r="17" ht="14" customHeight="1">
      <c r="A17" s="9" t="inlineStr">
        <is>
          <t>Minimum order quantity (pouches per batch)</t>
        </is>
      </c>
      <c r="B17" s="10" t="n">
        <v>200000</v>
      </c>
      <c r="C17" s="10" t="n">
        <v>500000</v>
      </c>
      <c r="D17" s="11" t="inlineStr">
        <is>
          <t>Supplier B requires larger batch commits</t>
        </is>
      </c>
    </row>
    <row r="18" ht="14" customHeight="1">
      <c r="A18" s="6" t="inlineStr">
        <is>
          <t>Payment terms</t>
        </is>
      </c>
      <c r="B18" s="7" t="inlineStr">
        <is>
          <t>Net 45 days</t>
        </is>
      </c>
      <c r="C18" s="7" t="inlineStr">
        <is>
          <t>Net 30 days</t>
        </is>
      </c>
      <c r="D18" s="8" t="inlineStr">
        <is>
          <t>Supplier B offers discount on early pay — see Note 3</t>
        </is>
      </c>
    </row>
    <row r="19" ht="14" customHeight="1">
      <c r="A19" s="9" t="inlineStr">
        <is>
          <t>Defect / rejection rate (historical average)</t>
        </is>
      </c>
      <c r="B19" s="10" t="inlineStr">
        <is>
          <t>1.8%</t>
        </is>
      </c>
      <c r="C19" s="10" t="inlineStr">
        <is>
          <t>3.4%</t>
        </is>
      </c>
      <c r="D19" s="11" t="inlineStr">
        <is>
          <t>Supplier A established; Supplier B trial run data FY24</t>
        </is>
      </c>
    </row>
    <row r="20" ht="14" customHeight="1">
      <c r="A20" s="6" t="inlineStr">
        <is>
          <t>Lead time (days from PO to delivery)</t>
        </is>
      </c>
      <c r="B20" s="7" t="n">
        <v>12</v>
      </c>
      <c r="C20" s="7" t="n">
        <v>22</v>
      </c>
      <c r="D20" s="8" t="inlineStr">
        <is>
          <t>Supplier B longer — interstate logistics</t>
        </is>
      </c>
    </row>
    <row r="21" ht="8" customHeight="1"/>
    <row r="22" ht="18" customHeight="1">
      <c r="A22" s="4" t="inlineStr">
        <is>
          <t>SECTION C: FINANCIAL &amp; WORKING CAPITAL ASSUMPTIONS</t>
        </is>
      </c>
      <c r="B22" s="2" t="n"/>
      <c r="C22" s="2" t="n"/>
      <c r="D22" s="3" t="n"/>
    </row>
    <row r="23" ht="16" customHeight="1">
      <c r="A23" s="5" t="inlineStr">
        <is>
          <t>Parameter</t>
        </is>
      </c>
      <c r="B23" s="5" t="inlineStr">
        <is>
          <t>Value Used in Model</t>
        </is>
      </c>
      <c r="C23" s="5" t="inlineStr">
        <is>
          <t>Unit</t>
        </is>
      </c>
      <c r="D23" s="5" t="inlineStr">
        <is>
          <t>Source / Note</t>
        </is>
      </c>
    </row>
    <row r="24" ht="14" customHeight="1">
      <c r="A24" s="12" t="inlineStr">
        <is>
          <t>RBI Repo Rate (used as working capital financing benchmark)</t>
        </is>
      </c>
      <c r="B24" s="13" t="inlineStr">
        <is>
          <t>8.25%</t>
        </is>
      </c>
      <c r="C24" s="14" t="inlineStr">
        <is>
          <t>%</t>
        </is>
      </c>
      <c r="D24" s="15" t="inlineStr">
        <is>
          <t>RBI Monetary Policy — refer RBI.org.in for current rate</t>
        </is>
      </c>
    </row>
    <row r="25" ht="14" customHeight="1">
      <c r="A25" s="9" t="inlineStr">
        <is>
          <t>Inventory carrying cost benchmark (% of landed cost)</t>
        </is>
      </c>
      <c r="B25" s="10" t="inlineStr">
        <is>
          <t>15%</t>
        </is>
      </c>
      <c r="C25" s="10" t="inlineStr">
        <is>
          <t>% p.a.</t>
        </is>
      </c>
      <c r="D25" s="11" t="inlineStr">
        <is>
          <t>Industry standard — refer CRISIL Packaging Sector Report</t>
        </is>
      </c>
    </row>
    <row r="26" ht="14" customHeight="1">
      <c r="A26" s="6" t="inlineStr">
        <is>
          <t>Defect cost per rejected pouch — rework + disposal</t>
        </is>
      </c>
      <c r="B26" s="7" t="n">
        <v>4.2</v>
      </c>
      <c r="C26" s="7" t="inlineStr">
        <is>
          <t>₹ per pouch</t>
        </is>
      </c>
      <c r="D26" s="8" t="inlineStr">
        <is>
          <t>Internal cost accounting — FY24 actuals</t>
        </is>
      </c>
    </row>
    <row r="27" ht="14" customHeight="1">
      <c r="A27" s="9" t="inlineStr">
        <is>
          <t>Working capital financing period — Supplier A</t>
        </is>
      </c>
      <c r="B27" s="10" t="n">
        <v>45</v>
      </c>
      <c r="C27" s="10" t="inlineStr">
        <is>
          <t>days (payment terms)</t>
        </is>
      </c>
      <c r="D27" s="11" t="inlineStr">
        <is>
          <t>Net 45 — standard Supplier A contract</t>
        </is>
      </c>
    </row>
    <row r="28" ht="14" customHeight="1">
      <c r="A28" s="6" t="inlineStr">
        <is>
          <t>Working capital financing period — Supplier B</t>
        </is>
      </c>
      <c r="B28" s="7" t="n">
        <v>30</v>
      </c>
      <c r="C28" s="7" t="inlineStr">
        <is>
          <t>days (payment terms)</t>
        </is>
      </c>
      <c r="D28" s="8" t="inlineStr">
        <is>
          <t>Net 30 — Supplier B contract</t>
        </is>
      </c>
    </row>
    <row r="29" ht="14" customHeight="1">
      <c r="A29" s="9" t="inlineStr">
        <is>
          <t>Annual volume growth assumption (FY26 plan)</t>
        </is>
      </c>
      <c r="B29" s="10" t="inlineStr">
        <is>
          <t>12%</t>
        </is>
      </c>
      <c r="C29" s="10" t="inlineStr">
        <is>
          <t>%</t>
        </is>
      </c>
      <c r="D29" s="11" t="inlineStr">
        <is>
          <t>Sales forecast — Strategy team, Jan 2025</t>
        </is>
      </c>
    </row>
    <row r="30" ht="14" customHeight="1">
      <c r="A30" s="6" t="inlineStr">
        <is>
          <t>FX exposure</t>
        </is>
      </c>
      <c r="B30" s="7" t="inlineStr">
        <is>
          <t>NIL</t>
        </is>
      </c>
      <c r="C30" s="7" t="inlineStr">
        <is>
          <t>—</t>
        </is>
      </c>
      <c r="D30" s="8" t="inlineStr">
        <is>
          <t>Both suppliers invoice in INR; no currency risk</t>
        </is>
      </c>
    </row>
    <row r="31" ht="8" customHeight="1"/>
    <row r="32" ht="16" customHeight="1">
      <c r="A32" s="4" t="inlineStr">
        <is>
          <t>NOTES</t>
        </is>
      </c>
      <c r="B32" s="2" t="n"/>
      <c r="C32" s="2" t="n"/>
      <c r="D32" s="3" t="n"/>
    </row>
    <row r="33" ht="28" customHeight="1">
      <c r="A33" s="16" t="inlineStr">
        <is>
          <t>Note 1: All prices are exclusive of GST. Applicable GST rate on packaging material = 18% (CGST 9% + SGST 9%). Refer CBIC GST Rate Schedule for verification.</t>
        </is>
      </c>
      <c r="B33" s="2" t="n"/>
      <c r="C33" s="2" t="n"/>
      <c r="D33" s="3" t="n"/>
    </row>
    <row r="34" ht="28" customHeight="1">
      <c r="A34" s="17" t="inlineStr">
        <is>
          <t>Note 2: Defect rejection rate for Supplier B is based on a 90-day trial run (Q3 FY24). Long-term defect rate for Supplier A is 5-year average (FY20–FY24).</t>
        </is>
      </c>
      <c r="B34" s="2" t="n"/>
      <c r="C34" s="2" t="n"/>
      <c r="D34" s="3" t="n"/>
    </row>
    <row r="35" ht="28" customHeight="1">
      <c r="A35" s="16" t="inlineStr">
        <is>
          <t>Note 3: Supplier B offers a 1.5% early payment discount on invoices settled within 7 days. This is NOT factored in base price comparison — to be assessed separately.</t>
        </is>
      </c>
      <c r="B35" s="2" t="n"/>
      <c r="C35" s="2" t="n"/>
      <c r="D35" s="3" t="n"/>
    </row>
    <row r="36" ht="28" customHeight="1">
      <c r="A36" s="17" t="inlineStr">
        <is>
          <t>Note 4: Inventory carrying cost benchmark of 15% includes warehousing, obsolescence, and capital cost components per CRISIL FMCG Packaging Benchmarking study.</t>
        </is>
      </c>
      <c r="B36" s="2" t="n"/>
      <c r="C36" s="2" t="n"/>
      <c r="D36" s="3" t="n"/>
    </row>
    <row r="37" ht="28" customHeight="1">
      <c r="A37" s="16" t="inlineStr">
        <is>
          <t>Note 5: Working capital cost calculation: (Landed cost per 1,000 pouches) × (Payment terms / 365) × RBI Repo Rate. The Repo Rate cell above must be validated against the current RBI published rate before finalising the cost model.</t>
        </is>
      </c>
      <c r="B37" s="2" t="n"/>
      <c r="C37" s="2" t="n"/>
      <c r="D37" s="3" t="n"/>
    </row>
  </sheetData>
  <mergeCells count="11">
    <mergeCell ref="A1:D1"/>
    <mergeCell ref="A37:D37"/>
    <mergeCell ref="A22:D22"/>
    <mergeCell ref="A34:D34"/>
    <mergeCell ref="A12:D12"/>
    <mergeCell ref="A4:D4"/>
    <mergeCell ref="A35:D35"/>
    <mergeCell ref="A2:D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 ht="22" customHeight="1">
      <c r="A1" s="1" t="inlineStr">
        <is>
          <t>SKU-WISE PACKAGING COST BUILD — FY 2024-25</t>
        </is>
      </c>
      <c r="B1" s="2" t="n"/>
      <c r="C1" s="2" t="n"/>
      <c r="D1" s="2" t="n"/>
      <c r="E1" s="3" t="n"/>
    </row>
    <row r="2" ht="16" customHeight="1">
      <c r="A2" s="4" t="inlineStr">
        <is>
          <t>Basis: 1,000 pouches per SKU  |  Values in ₹ unless stated</t>
        </is>
      </c>
      <c r="B2" s="2" t="n"/>
      <c r="C2" s="2" t="n"/>
      <c r="D2" s="2" t="n"/>
      <c r="E2" s="3" t="n"/>
    </row>
    <row r="3" ht="8" customHeight="1"/>
    <row r="4" ht="32" customHeight="1">
      <c r="A4" s="18" t="inlineStr">
        <is>
          <t>Cost Component</t>
        </is>
      </c>
      <c r="B4" s="18" t="inlineStr">
        <is>
          <t>Roasted Snacks
(250g pouch)</t>
        </is>
      </c>
      <c r="C4" s="18" t="inlineStr">
        <is>
          <t>Breakfast Cereal
(500g pouch)</t>
        </is>
      </c>
      <c r="D4" s="18" t="inlineStr">
        <is>
          <t>Vermicelli
(200g pouch)</t>
        </is>
      </c>
      <c r="E4" s="18" t="inlineStr">
        <is>
          <t>Dry Fruits Mix
(1 kg SUP)</t>
        </is>
      </c>
    </row>
    <row r="5" ht="15" customHeight="1">
      <c r="A5" s="19" t="inlineStr">
        <is>
          <t>── SUPPLIER A (Pragati Flex) ──</t>
        </is>
      </c>
      <c r="B5" s="20" t="n"/>
      <c r="C5" s="20" t="n"/>
      <c r="D5" s="20" t="n"/>
      <c r="E5" s="20" t="n"/>
    </row>
    <row r="6" ht="15" customHeight="1">
      <c r="A6" s="9" t="inlineStr">
        <is>
          <t>Base laminate price</t>
        </is>
      </c>
      <c r="B6" s="21" t="n">
        <v>1840</v>
      </c>
      <c r="C6" s="21" t="n">
        <v>2180</v>
      </c>
      <c r="D6" s="21" t="n">
        <v>1620</v>
      </c>
      <c r="E6" s="21" t="n">
        <v>2640</v>
      </c>
    </row>
    <row r="7" ht="15" customHeight="1">
      <c r="A7" s="6" t="inlineStr">
        <is>
          <t>Inward freight</t>
        </is>
      </c>
      <c r="B7" s="22" t="n">
        <v>38</v>
      </c>
      <c r="C7" s="22" t="n">
        <v>38</v>
      </c>
      <c r="D7" s="22" t="n">
        <v>38</v>
      </c>
      <c r="E7" s="22" t="n">
        <v>38</v>
      </c>
    </row>
    <row r="8" ht="15" customHeight="1">
      <c r="A8" s="9" t="inlineStr">
        <is>
          <t>QC &amp; inspection</t>
        </is>
      </c>
      <c r="B8" s="21" t="n">
        <v>12</v>
      </c>
      <c r="C8" s="21" t="n">
        <v>12</v>
      </c>
      <c r="D8" s="21" t="n">
        <v>12</v>
      </c>
      <c r="E8" s="21" t="n">
        <v>12</v>
      </c>
    </row>
    <row r="9" ht="15" customHeight="1">
      <c r="A9" s="6" t="inlineStr">
        <is>
          <t>Landed cost per 1,000 pouches</t>
        </is>
      </c>
      <c r="B9" s="22" t="n">
        <v>1890</v>
      </c>
      <c r="C9" s="22" t="n">
        <v>2230</v>
      </c>
      <c r="D9" s="22" t="n">
        <v>1670</v>
      </c>
      <c r="E9" s="22" t="n">
        <v>2690</v>
      </c>
    </row>
    <row r="10" ht="15" customHeight="1">
      <c r="A10" s="9" t="inlineStr">
        <is>
          <t>Defect cost (1.8% rejection × ₹4.20/pouch)</t>
        </is>
      </c>
      <c r="B10" s="23" t="n">
        <v>34.02</v>
      </c>
      <c r="C10" s="23" t="n">
        <v>40.14</v>
      </c>
      <c r="D10" s="23" t="n">
        <v>30.24</v>
      </c>
      <c r="E10" s="23" t="n">
        <v>48.42</v>
      </c>
    </row>
    <row r="11" ht="15" customHeight="1">
      <c r="A11" s="6" t="inlineStr">
        <is>
          <t>Working capital cost (Net 45, Repo 8.25%)</t>
        </is>
      </c>
      <c r="B11" s="24">
        <f>B6*45/365*0.0825</f>
        <v/>
      </c>
      <c r="C11" s="24">
        <f>C6*45/365*0.0825</f>
        <v/>
      </c>
      <c r="D11" s="24">
        <f>D6*45/365*0.0825</f>
        <v/>
      </c>
      <c r="E11" s="24">
        <f>E6*45/365*0.0825</f>
        <v/>
      </c>
    </row>
    <row r="12" ht="15" customHeight="1">
      <c r="A12" s="9" t="inlineStr">
        <is>
          <t>Inventory carrying cost (15% × landed × 12/365)</t>
        </is>
      </c>
      <c r="B12" s="23">
        <f>B6*0.15*12/365</f>
        <v/>
      </c>
      <c r="C12" s="23">
        <f>C6*0.15*12/365</f>
        <v/>
      </c>
      <c r="D12" s="23">
        <f>D6*0.15*12/365</f>
        <v/>
      </c>
      <c r="E12" s="23">
        <f>E6*0.15*12/365</f>
        <v/>
      </c>
    </row>
    <row r="13" ht="15" customHeight="1">
      <c r="A13" s="25" t="inlineStr">
        <is>
          <t>TOTAL EFFECTIVE COST — Supplier A</t>
        </is>
      </c>
      <c r="B13" s="26">
        <f>SUM(B5:B9)</f>
        <v/>
      </c>
      <c r="C13" s="26">
        <f>SUM(C5:C9)</f>
        <v/>
      </c>
      <c r="D13" s="26">
        <f>SUM(D5:D9)</f>
        <v/>
      </c>
      <c r="E13" s="26">
        <f>SUM(E5:E9)</f>
        <v/>
      </c>
    </row>
    <row r="14" ht="15" customHeight="1">
      <c r="A14" s="9" t="n"/>
      <c r="B14" s="10" t="n"/>
      <c r="C14" s="10" t="n"/>
      <c r="D14" s="10" t="n"/>
      <c r="E14" s="10" t="n"/>
    </row>
    <row r="15" ht="15" customHeight="1">
      <c r="A15" s="19" t="inlineStr">
        <is>
          <t>── SUPPLIER B (Vardhman Packtech) ──</t>
        </is>
      </c>
      <c r="B15" s="20" t="n"/>
      <c r="C15" s="20" t="n"/>
      <c r="D15" s="20" t="n"/>
      <c r="E15" s="20" t="n"/>
    </row>
    <row r="16" ht="15" customHeight="1">
      <c r="A16" s="9" t="inlineStr">
        <is>
          <t>Base laminate price</t>
        </is>
      </c>
      <c r="B16" s="21" t="n">
        <v>1710</v>
      </c>
      <c r="C16" s="21" t="n">
        <v>2020</v>
      </c>
      <c r="D16" s="21" t="n">
        <v>1495</v>
      </c>
      <c r="E16" s="21" t="n">
        <v>2430</v>
      </c>
    </row>
    <row r="17" ht="15" customHeight="1">
      <c r="A17" s="6" t="inlineStr">
        <is>
          <t>Inward freight</t>
        </is>
      </c>
      <c r="B17" s="22" t="n">
        <v>87</v>
      </c>
      <c r="C17" s="22" t="n">
        <v>87</v>
      </c>
      <c r="D17" s="22" t="n">
        <v>87</v>
      </c>
      <c r="E17" s="22" t="n">
        <v>87</v>
      </c>
    </row>
    <row r="18" ht="15" customHeight="1">
      <c r="A18" s="9" t="inlineStr">
        <is>
          <t>QC &amp; inspection</t>
        </is>
      </c>
      <c r="B18" s="21" t="n">
        <v>12</v>
      </c>
      <c r="C18" s="21" t="n">
        <v>12</v>
      </c>
      <c r="D18" s="21" t="n">
        <v>12</v>
      </c>
      <c r="E18" s="21" t="n">
        <v>12</v>
      </c>
    </row>
    <row r="19" ht="15" customHeight="1">
      <c r="A19" s="6" t="inlineStr">
        <is>
          <t>Landed cost per 1,000 pouches</t>
        </is>
      </c>
      <c r="B19" s="22" t="n">
        <v>1809</v>
      </c>
      <c r="C19" s="22" t="n">
        <v>2119</v>
      </c>
      <c r="D19" s="22" t="n">
        <v>1594</v>
      </c>
      <c r="E19" s="22" t="n">
        <v>2529</v>
      </c>
    </row>
    <row r="20" ht="15" customHeight="1">
      <c r="A20" s="9" t="inlineStr">
        <is>
          <t>Defect cost (3.4% rejection × ₹4.20/pouch)</t>
        </is>
      </c>
      <c r="B20" s="23" t="n">
        <v>64.26000000000001</v>
      </c>
      <c r="C20" s="23" t="n">
        <v>72.05</v>
      </c>
      <c r="D20" s="23" t="n">
        <v>54.2</v>
      </c>
      <c r="E20" s="23" t="n">
        <v>86.06999999999999</v>
      </c>
    </row>
    <row r="21" ht="15" customHeight="1">
      <c r="A21" s="6" t="inlineStr">
        <is>
          <t>Working capital cost (Net 30, Repo 8.25%)</t>
        </is>
      </c>
      <c r="B21" s="24">
        <f>B16*30/365*0.0825</f>
        <v/>
      </c>
      <c r="C21" s="24">
        <f>C16*30/365*0.0825</f>
        <v/>
      </c>
      <c r="D21" s="24">
        <f>D16*30/365*0.0825</f>
        <v/>
      </c>
      <c r="E21" s="24">
        <f>E16*30/365*0.0825</f>
        <v/>
      </c>
    </row>
    <row r="22" ht="15" customHeight="1">
      <c r="A22" s="9" t="inlineStr">
        <is>
          <t>Inventory carrying cost (15% × landed × 22/365)</t>
        </is>
      </c>
      <c r="B22" s="23">
        <f>B16*0.15*22/365</f>
        <v/>
      </c>
      <c r="C22" s="23">
        <f>C16*0.15*22/365</f>
        <v/>
      </c>
      <c r="D22" s="23">
        <f>D16*0.15*22/365</f>
        <v/>
      </c>
      <c r="E22" s="23">
        <f>E16*0.15*22/365</f>
        <v/>
      </c>
    </row>
    <row r="23" ht="15" customHeight="1">
      <c r="A23" s="25" t="inlineStr">
        <is>
          <t>TOTAL EFFECTIVE COST — Supplier B</t>
        </is>
      </c>
      <c r="B23" s="26">
        <f>SUM(B17:B21)</f>
        <v/>
      </c>
      <c r="C23" s="26">
        <f>SUM(C17:C21)</f>
        <v/>
      </c>
      <c r="D23" s="26">
        <f>SUM(D17:D21)</f>
        <v/>
      </c>
      <c r="E23" s="26">
        <f>SUM(E17:E21)</f>
        <v/>
      </c>
    </row>
    <row r="24" ht="15" customHeight="1">
      <c r="A24" s="9" t="n"/>
      <c r="B24" s="10" t="n"/>
      <c r="C24" s="10" t="n"/>
      <c r="D24" s="10" t="n"/>
      <c r="E24" s="10" t="n"/>
    </row>
    <row r="25" ht="15" customHeight="1">
      <c r="A25" s="25" t="inlineStr">
        <is>
          <t>COST DELTA (A minus B)</t>
        </is>
      </c>
      <c r="B25" s="26">
        <f>B10-B22</f>
        <v/>
      </c>
      <c r="C25" s="26">
        <f>C10-C22</f>
        <v/>
      </c>
      <c r="D25" s="26">
        <f>D10-D22</f>
        <v/>
      </c>
      <c r="E25" s="26">
        <f>E10-E22</f>
        <v/>
      </c>
    </row>
    <row r="26" ht="15" customHeight="1">
      <c r="A26" s="25" t="inlineStr">
        <is>
          <t>Supplier B cheaper by (%)</t>
        </is>
      </c>
      <c r="B26" s="27">
        <f>B23/B10</f>
        <v/>
      </c>
      <c r="C26" s="27">
        <f>C23/C10</f>
        <v/>
      </c>
      <c r="D26" s="27">
        <f>D23/D10</f>
        <v/>
      </c>
      <c r="E26" s="27">
        <f>E23/E10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 ht="22" customHeight="1">
      <c r="A1" s="1" t="inlineStr">
        <is>
          <t>HISTORICAL PACKAGING COST DATA — FY 2023-24 (ARCHIVED)</t>
        </is>
      </c>
      <c r="B1" s="2" t="n"/>
      <c r="C1" s="3" t="n"/>
    </row>
    <row r="2" ht="16" customHeight="1">
      <c r="A2" s="28" t="inlineStr">
        <is>
          <t>FOR REFERENCE ONLY — NOT FOR USE IN CURRENT COST MODEL</t>
        </is>
      </c>
      <c r="B2" s="2" t="n"/>
      <c r="C2" s="3" t="n"/>
    </row>
    <row r="3" ht="6" customHeight="1"/>
    <row r="4" ht="16" customHeight="1">
      <c r="A4" s="18" t="inlineStr">
        <is>
          <t>Metric</t>
        </is>
      </c>
      <c r="B4" s="18" t="inlineStr">
        <is>
          <t>FY 2023-24 Actuals</t>
        </is>
      </c>
      <c r="C4" s="18" t="inlineStr">
        <is>
          <t>Notes</t>
        </is>
      </c>
    </row>
    <row r="5" ht="14" customHeight="1">
      <c r="A5" s="6" t="inlineStr">
        <is>
          <t>Total packaging spend — Supplier A (Pragati Flex)</t>
        </is>
      </c>
      <c r="B5" s="7" t="inlineStr">
        <is>
          <t>₹1.42 Cr</t>
        </is>
      </c>
      <c r="C5" s="8" t="inlineStr">
        <is>
          <t>Single source arrangement</t>
        </is>
      </c>
    </row>
    <row r="6" ht="14" customHeight="1">
      <c r="A6" s="9" t="inlineStr">
        <is>
          <t>Average cost per 1,000 pouches — blended</t>
        </is>
      </c>
      <c r="B6" s="10" t="inlineStr">
        <is>
          <t>₹1,798</t>
        </is>
      </c>
      <c r="C6" s="11" t="inlineStr">
        <is>
          <t>All SKUs weighted by volume</t>
        </is>
      </c>
    </row>
    <row r="7" ht="14" customHeight="1">
      <c r="A7" s="6" t="inlineStr">
        <is>
          <t>Defect rejection cost — FY24 total</t>
        </is>
      </c>
      <c r="B7" s="7" t="inlineStr">
        <is>
          <t>₹6.8 Lakh</t>
        </is>
      </c>
      <c r="C7" s="8" t="inlineStr"/>
    </row>
    <row r="8" ht="14" customHeight="1">
      <c r="A8" s="9" t="inlineStr">
        <is>
          <t>Inventory carrying cost booked — FY24</t>
        </is>
      </c>
      <c r="B8" s="10" t="inlineStr">
        <is>
          <t>₹4.2 Lakh</t>
        </is>
      </c>
      <c r="C8" s="11" t="inlineStr"/>
    </row>
    <row r="9" ht="14" customHeight="1">
      <c r="A9" s="6" t="inlineStr">
        <is>
          <t>Working capital interest notional — FY24</t>
        </is>
      </c>
      <c r="B9" s="7" t="inlineStr">
        <is>
          <t>₹3.6 Lakh</t>
        </is>
      </c>
      <c r="C9" s="8" t="inlineStr">
        <is>
          <t>Repo Rate then = 6.50%</t>
        </is>
      </c>
    </row>
    <row r="10" ht="14" customHeight="1">
      <c r="A10" s="9" t="inlineStr">
        <is>
          <t>Total effective packaging cost — FY24</t>
        </is>
      </c>
      <c r="B10" s="10" t="inlineStr">
        <is>
          <t>₹1.55 Cr</t>
        </is>
      </c>
      <c r="C10" s="11" t="inlineStr">
        <is>
          <t>All-in</t>
        </is>
      </c>
    </row>
    <row r="11" ht="14" customHeight="1">
      <c r="A11" s="6" t="inlineStr">
        <is>
          <t>Supplier B — trial run spend (Q3 FY24)</t>
        </is>
      </c>
      <c r="B11" s="7" t="inlineStr">
        <is>
          <t>₹18.4 Lakh</t>
        </is>
      </c>
      <c r="C11" s="8" t="inlineStr">
        <is>
          <t>1.5 million pouches — snacks only</t>
        </is>
      </c>
    </row>
    <row r="12" ht="14" customHeight="1">
      <c r="A12" s="9" t="inlineStr">
        <is>
          <t>Supplier B defect rejection cost — trial</t>
        </is>
      </c>
      <c r="B12" s="10" t="inlineStr">
        <is>
          <t>₹2.1 Lakh</t>
        </is>
      </c>
      <c r="C12" s="11" t="inlineStr">
        <is>
          <t>Higher than expected; vendor under review</t>
        </is>
      </c>
    </row>
    <row r="13" ht="14" customHeight="1">
      <c r="A13" s="6" t="inlineStr">
        <is>
          <t>On-time delivery performance — Supplier A</t>
        </is>
      </c>
      <c r="B13" s="7" t="inlineStr">
        <is>
          <t>96.2%</t>
        </is>
      </c>
      <c r="C13" s="8" t="inlineStr"/>
    </row>
    <row r="14" ht="14" customHeight="1">
      <c r="A14" s="9" t="inlineStr">
        <is>
          <t>On-time delivery performance — Supplier B</t>
        </is>
      </c>
      <c r="B14" s="10" t="inlineStr">
        <is>
          <t>88.7%</t>
        </is>
      </c>
      <c r="C14" s="11" t="inlineStr">
        <is>
          <t>Trial run only; small sample</t>
        </is>
      </c>
    </row>
    <row r="16" ht="22" customHeight="1">
      <c r="A16" s="16" t="inlineStr">
        <is>
          <t>Note: This sheet is archived data. Do not use FY24 Repo Rate (6.50%) in FY25 cost model. Verify current RBI rate at rbi.org.in.</t>
        </is>
      </c>
      <c r="B16" s="2" t="n"/>
      <c r="C16" s="3" t="n"/>
    </row>
  </sheetData>
  <mergeCells count="3">
    <mergeCell ref="A1:C1"/>
    <mergeCell ref="A16:C1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8" customWidth="1" min="4" max="4"/>
    <col width="18" customWidth="1" min="5" max="5"/>
    <col width="20" customWidth="1" min="6" max="6"/>
    <col width="25" customWidth="1" min="7" max="7"/>
  </cols>
  <sheetData>
    <row r="1" ht="22" customHeight="1">
      <c r="A1" s="1" t="inlineStr">
        <is>
          <t>VENDOR MASTER REGISTER — ALL PROCUREMENT CATEGORIES — FY 2024-25</t>
        </is>
      </c>
      <c r="B1" s="2" t="n"/>
      <c r="C1" s="2" t="n"/>
      <c r="D1" s="2" t="n"/>
      <c r="E1" s="2" t="n"/>
      <c r="F1" s="2" t="n"/>
      <c r="G1" s="3" t="n"/>
    </row>
    <row r="2" ht="18" customHeight="1">
      <c r="A2" s="18" t="inlineStr">
        <is>
          <t>#</t>
        </is>
      </c>
      <c r="B2" s="18" t="inlineStr">
        <is>
          <t>Vendor Name</t>
        </is>
      </c>
      <c r="C2" s="18" t="inlineStr">
        <is>
          <t>Category</t>
        </is>
      </c>
      <c r="D2" s="18" t="inlineStr">
        <is>
          <t>Annual Spend (₹ Lakh)</t>
        </is>
      </c>
      <c r="E2" s="18" t="inlineStr">
        <is>
          <t>Payment Terms</t>
        </is>
      </c>
      <c r="F2" s="18" t="inlineStr">
        <is>
          <t>Lead Time (days)</t>
        </is>
      </c>
      <c r="G2" s="18" t="inlineStr">
        <is>
          <t>Status</t>
        </is>
      </c>
    </row>
    <row r="3" ht="14" customHeight="1">
      <c r="A3" s="29" t="n">
        <v>1</v>
      </c>
      <c r="B3" s="30" t="inlineStr">
        <is>
          <t>Pragati Flex Pack Pvt. Ltd.</t>
        </is>
      </c>
      <c r="C3" s="31" t="inlineStr">
        <is>
          <t>Flexible Packaging</t>
        </is>
      </c>
      <c r="D3" s="29" t="n">
        <v>142</v>
      </c>
      <c r="E3" s="29" t="inlineStr">
        <is>
          <t>Net 45</t>
        </is>
      </c>
      <c r="F3" s="29" t="n">
        <v>12</v>
      </c>
      <c r="G3" s="32" t="inlineStr">
        <is>
          <t>Active — Primary</t>
        </is>
      </c>
    </row>
    <row r="4" ht="14" customHeight="1">
      <c r="A4" s="29" t="n">
        <v>2</v>
      </c>
      <c r="B4" s="30" t="inlineStr">
        <is>
          <t>Vardhman Packtech (P) Ltd.</t>
        </is>
      </c>
      <c r="C4" s="31" t="inlineStr">
        <is>
          <t>Flexible Packaging</t>
        </is>
      </c>
      <c r="D4" s="29" t="n">
        <v>18.4</v>
      </c>
      <c r="E4" s="29" t="inlineStr">
        <is>
          <t>Net 30</t>
        </is>
      </c>
      <c r="F4" s="29" t="n">
        <v>22</v>
      </c>
      <c r="G4" s="32" t="inlineStr">
        <is>
          <t>Active — Probation/Trial</t>
        </is>
      </c>
    </row>
    <row r="5" ht="14" customHeight="1">
      <c r="A5" s="7" t="n">
        <v>3</v>
      </c>
      <c r="B5" s="6" t="inlineStr">
        <is>
          <t>Prakash Spices &amp; Masala Suppliers</t>
        </is>
      </c>
      <c r="C5" s="6" t="inlineStr">
        <is>
          <t>Raw Materials — Spices</t>
        </is>
      </c>
      <c r="D5" s="7" t="n">
        <v>38.2</v>
      </c>
      <c r="E5" s="7" t="inlineStr">
        <is>
          <t>Net 30</t>
        </is>
      </c>
      <c r="F5" s="7" t="n">
        <v>7</v>
      </c>
      <c r="G5" s="8" t="inlineStr">
        <is>
          <t>Active</t>
        </is>
      </c>
    </row>
    <row r="6" ht="14" customHeight="1">
      <c r="A6" s="10" t="n">
        <v>4</v>
      </c>
      <c r="B6" s="9" t="inlineStr">
        <is>
          <t>Aggarwal Dry Fruits Wholesale</t>
        </is>
      </c>
      <c r="C6" s="9" t="inlineStr">
        <is>
          <t>Raw Materials — Dry Fruits</t>
        </is>
      </c>
      <c r="D6" s="10" t="n">
        <v>62.7</v>
      </c>
      <c r="E6" s="10" t="inlineStr">
        <is>
          <t>Advance</t>
        </is>
      </c>
      <c r="F6" s="10" t="n">
        <v>3</v>
      </c>
      <c r="G6" s="11" t="inlineStr">
        <is>
          <t>Active</t>
        </is>
      </c>
    </row>
    <row r="7" ht="14" customHeight="1">
      <c r="A7" s="7" t="n">
        <v>5</v>
      </c>
      <c r="B7" s="6" t="inlineStr">
        <is>
          <t>National Starch Products Ltd.</t>
        </is>
      </c>
      <c r="C7" s="6" t="inlineStr">
        <is>
          <t>Raw Materials — Starch/Cornflour</t>
        </is>
      </c>
      <c r="D7" s="7" t="n">
        <v>14.8</v>
      </c>
      <c r="E7" s="7" t="inlineStr">
        <is>
          <t>Net 21</t>
        </is>
      </c>
      <c r="F7" s="7" t="n">
        <v>10</v>
      </c>
      <c r="G7" s="8" t="inlineStr">
        <is>
          <t>Active</t>
        </is>
      </c>
    </row>
    <row r="8" ht="14" customHeight="1">
      <c r="A8" s="10" t="n">
        <v>6</v>
      </c>
      <c r="B8" s="9" t="inlineStr">
        <is>
          <t>Rama Paper &amp; Board Mills</t>
        </is>
      </c>
      <c r="C8" s="9" t="inlineStr">
        <is>
          <t>Secondary Packaging — Cartons</t>
        </is>
      </c>
      <c r="D8" s="10" t="n">
        <v>9.300000000000001</v>
      </c>
      <c r="E8" s="10" t="inlineStr">
        <is>
          <t>Net 30</t>
        </is>
      </c>
      <c r="F8" s="10" t="n">
        <v>8</v>
      </c>
      <c r="G8" s="11" t="inlineStr">
        <is>
          <t>Active</t>
        </is>
      </c>
    </row>
    <row r="9" ht="14" customHeight="1">
      <c r="A9" s="7" t="n">
        <v>7</v>
      </c>
      <c r="B9" s="6" t="inlineStr">
        <is>
          <t>Mahindra Logistics Pvt. Ltd.</t>
        </is>
      </c>
      <c r="C9" s="6" t="inlineStr">
        <is>
          <t>Freight &amp; Distribution</t>
        </is>
      </c>
      <c r="D9" s="7" t="n">
        <v>22.1</v>
      </c>
      <c r="E9" s="7" t="inlineStr">
        <is>
          <t>Net 45</t>
        </is>
      </c>
      <c r="F9" s="7" t="inlineStr">
        <is>
          <t>N/A</t>
        </is>
      </c>
      <c r="G9" s="8" t="inlineStr">
        <is>
          <t>Active</t>
        </is>
      </c>
    </row>
    <row r="10" ht="14" customHeight="1">
      <c r="A10" s="10" t="n">
        <v>8</v>
      </c>
      <c r="B10" s="9" t="inlineStr">
        <is>
          <t>Punjab Printing Works</t>
        </is>
      </c>
      <c r="C10" s="9" t="inlineStr">
        <is>
          <t>Labels &amp; Stickers</t>
        </is>
      </c>
      <c r="D10" s="10" t="n">
        <v>4.6</v>
      </c>
      <c r="E10" s="10" t="inlineStr">
        <is>
          <t>Advance</t>
        </is>
      </c>
      <c r="F10" s="10" t="n">
        <v>6</v>
      </c>
      <c r="G10" s="11" t="inlineStr">
        <is>
          <t>Active</t>
        </is>
      </c>
    </row>
    <row r="11" ht="14" customHeight="1">
      <c r="A11" s="7" t="n">
        <v>9</v>
      </c>
      <c r="B11" s="6" t="inlineStr">
        <is>
          <t>Om Electricals &amp; Maintenance</t>
        </is>
      </c>
      <c r="C11" s="6" t="inlineStr">
        <is>
          <t>Plant Maintenance</t>
        </is>
      </c>
      <c r="D11" s="7" t="n">
        <v>6.8</v>
      </c>
      <c r="E11" s="7" t="inlineStr">
        <is>
          <t>Net 15</t>
        </is>
      </c>
      <c r="F11" s="7" t="n">
        <v>2</v>
      </c>
      <c r="G11" s="8" t="inlineStr">
        <is>
          <t>Active</t>
        </is>
      </c>
    </row>
    <row r="12" ht="14" customHeight="1">
      <c r="A12" s="10" t="n">
        <v>10</v>
      </c>
      <c r="B12" s="9" t="inlineStr">
        <is>
          <t>Sunrise Edible Oils Ltd.</t>
        </is>
      </c>
      <c r="C12" s="9" t="inlineStr">
        <is>
          <t>Cooking Oil (Plant use)</t>
        </is>
      </c>
      <c r="D12" s="10" t="n">
        <v>11.2</v>
      </c>
      <c r="E12" s="10" t="inlineStr">
        <is>
          <t>Net 21</t>
        </is>
      </c>
      <c r="F12" s="10" t="n">
        <v>5</v>
      </c>
      <c r="G12" s="11" t="inlineStr">
        <is>
          <t>Active</t>
        </is>
      </c>
    </row>
    <row r="13" ht="14" customHeight="1">
      <c r="A13" s="7" t="n">
        <v>11</v>
      </c>
      <c r="B13" s="6" t="inlineStr">
        <is>
          <t>Delhi Corrugated Box Co.</t>
        </is>
      </c>
      <c r="C13" s="6" t="inlineStr">
        <is>
          <t>Secondary Packaging — Corrugated</t>
        </is>
      </c>
      <c r="D13" s="7" t="n">
        <v>7.4</v>
      </c>
      <c r="E13" s="7" t="inlineStr">
        <is>
          <t>Net 30</t>
        </is>
      </c>
      <c r="F13" s="7" t="n">
        <v>7</v>
      </c>
      <c r="G13" s="8" t="inlineStr">
        <is>
          <t>Active</t>
        </is>
      </c>
    </row>
    <row r="14" ht="14" customHeight="1">
      <c r="A14" s="10" t="n">
        <v>12</v>
      </c>
      <c r="B14" s="9" t="inlineStr">
        <is>
          <t>BrandSpark Creatives LLP</t>
        </is>
      </c>
      <c r="C14" s="9" t="inlineStr">
        <is>
          <t>Marketing &amp; Design</t>
        </is>
      </c>
      <c r="D14" s="10" t="n">
        <v>3.1</v>
      </c>
      <c r="E14" s="10" t="inlineStr">
        <is>
          <t>Net 30</t>
        </is>
      </c>
      <c r="F14" s="10" t="inlineStr">
        <is>
          <t>N/A</t>
        </is>
      </c>
      <c r="G14" s="11" t="inlineStr">
        <is>
          <t>Active</t>
        </is>
      </c>
    </row>
    <row r="16" ht="20" customHeight="1">
      <c r="A16" s="16" t="inlineStr">
        <is>
          <t>Note: Highlighted rows (blue) = Flexible Packaging vendors — the subject of the current cost evaluation exercise. All other vendor rows are for reference only.</t>
        </is>
      </c>
      <c r="B16" s="2" t="n"/>
      <c r="C16" s="2" t="n"/>
      <c r="D16" s="2" t="n"/>
      <c r="E16" s="2" t="n"/>
      <c r="F16" s="2" t="n"/>
      <c r="G16" s="3" t="n"/>
    </row>
  </sheetData>
  <mergeCells count="2">
    <mergeCell ref="A16:G1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2026-04-26T13:35:44Z</dcterms:created>
  <dcterms:modified xmlns:dcterms="http://purl.org/dc/terms/" xmlns:xsi="http://www.w3.org/2001/XMLSchema-instance" xsi:type="dcterms:W3CDTF">2026-04-26T13:35:44Z</dcterms:modified>
</cp:coreProperties>
</file>