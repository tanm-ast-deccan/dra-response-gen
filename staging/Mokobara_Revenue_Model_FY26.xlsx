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ategory Deep Dive" sheetId="2" r:id="rId5"/>
    <sheet state="visible" name="FY26 Growth Assumptions" sheetId="3" r:id="rId6"/>
    <sheet state="visible" name="Competitor Benchmarks" sheetId="4" r:id="rId7"/>
  </sheets>
  <definedNames/>
  <calcPr/>
  <extLst>
    <ext uri="GoogleSheetsCustomDataVersion2">
      <go:sheetsCustomData xmlns:go="http://customooxmlschemas.google.com/" r:id="rId8" roundtripDataChecksum="3CYFGZt19xLRNTo6u5zEGXEz9/5pEnMqWCarliY9p+w="/>
    </ext>
  </extLst>
</workbook>
</file>

<file path=xl/sharedStrings.xml><?xml version="1.0" encoding="utf-8"?>
<sst xmlns="http://schemas.openxmlformats.org/spreadsheetml/2006/main" count="333" uniqueCount="282">
  <si>
    <t>MOKOBARA — REVENUE MODEL FY2026  |  CONFIDENTIAL  |  INTERNAL USE ONLY</t>
  </si>
  <si>
    <t>Prepared by: Strategy &amp; Finance  |  April 2026  |  All figures in ₹ Crore</t>
  </si>
  <si>
    <t>REVENUE SUMMARY — FY2026 REPORTED BASE</t>
  </si>
  <si>
    <t>Category</t>
  </si>
  <si>
    <t>FY2024A</t>
  </si>
  <si>
    <t>FY2025A</t>
  </si>
  <si>
    <t>FY2026E</t>
  </si>
  <si>
    <t>YoY Growth</t>
  </si>
  <si>
    <t>% of Total</t>
  </si>
  <si>
    <t>Notes</t>
  </si>
  <si>
    <t>Luggage &amp; Hard Cases</t>
  </si>
  <si>
    <t>Core category; includes cabin, check-in, and trunk</t>
  </si>
  <si>
    <t>Handbags &amp; Lifestyle</t>
  </si>
  <si>
    <t>Women's totes, backpacks, travel accessories</t>
  </si>
  <si>
    <t>Corporate Gifting</t>
  </si>
  <si>
    <t>B2B gifting contracts — see Footnote 7 below</t>
  </si>
  <si>
    <t>Total Reported Revenue</t>
  </si>
  <si>
    <t>Sum of all verticals per management accounts</t>
  </si>
  <si>
    <t>KEY PERFORMANCE INDICATORS — FY2026</t>
  </si>
  <si>
    <t>Metric</t>
  </si>
  <si>
    <t>Target</t>
  </si>
  <si>
    <t>Status</t>
  </si>
  <si>
    <t>Commentary</t>
  </si>
  <si>
    <t>Gross Margin %</t>
  </si>
  <si>
    <t>48.2%</t>
  </si>
  <si>
    <t>50.1%</t>
  </si>
  <si>
    <t>51.5%</t>
  </si>
  <si>
    <t>52.0%</t>
  </si>
  <si>
    <t>On Track</t>
  </si>
  <si>
    <t>Improvement driven by mix shift to Lifestyle</t>
  </si>
  <si>
    <t>D2C Revenue Share</t>
  </si>
  <si>
    <t>72%</t>
  </si>
  <si>
    <t>68%</t>
  </si>
  <si>
    <t>65%</t>
  </si>
  <si>
    <t>60%</t>
  </si>
  <si>
    <t>Planned shift toward omnichannel</t>
  </si>
  <si>
    <t>Active SKUs</t>
  </si>
  <si>
    <t>124</t>
  </si>
  <si>
    <t>187</t>
  </si>
  <si>
    <t>230</t>
  </si>
  <si>
    <t>250</t>
  </si>
  <si>
    <t>New handbag range launched Q1 FY26</t>
  </si>
  <si>
    <t>Offline Store Count</t>
  </si>
  <si>
    <t>2</t>
  </si>
  <si>
    <t>6</t>
  </si>
  <si>
    <t>10</t>
  </si>
  <si>
    <t>20</t>
  </si>
  <si>
    <t>Needs Review</t>
  </si>
  <si>
    <t>Expansion plan under board review</t>
  </si>
  <si>
    <t>Avg Revenue / Store (₹Cr)</t>
  </si>
  <si>
    <t>4.8</t>
  </si>
  <si>
    <t>5.0</t>
  </si>
  <si>
    <t>5.2</t>
  </si>
  <si>
    <t>5.5</t>
  </si>
  <si>
    <t>Per-store productivity improving</t>
  </si>
  <si>
    <t>CHANNEL MIX ANALYSIS — FY2026E</t>
  </si>
  <si>
    <t>Channel</t>
  </si>
  <si>
    <t>FY2024A (₹Cr)</t>
  </si>
  <si>
    <t>FY2025A (₹Cr)</t>
  </si>
  <si>
    <t>FY2026E (₹Cr)</t>
  </si>
  <si>
    <t>2Y CAGR</t>
  </si>
  <si>
    <t>Remarks</t>
  </si>
  <si>
    <t>Website (D2C)</t>
  </si>
  <si>
    <t>35.0%</t>
  </si>
  <si>
    <t>Primary growth driver</t>
  </si>
  <si>
    <t>Marketplace (Amz/Flipkart)</t>
  </si>
  <si>
    <t>33.5%</t>
  </si>
  <si>
    <t>Amazon Premium &amp; Flipkart Elite</t>
  </si>
  <si>
    <t>Offline Retail</t>
  </si>
  <si>
    <t>119.0%</t>
  </si>
  <si>
    <t>Rapid scale; 10 stores now open</t>
  </si>
  <si>
    <t>B2B / Gifting</t>
  </si>
  <si>
    <t>101.9%</t>
  </si>
  <si>
    <t>Includes divested corporate vertical</t>
  </si>
  <si>
    <t>Total</t>
  </si>
  <si>
    <t>42.3%</t>
  </si>
  <si>
    <t>As per management accounts</t>
  </si>
  <si>
    <t>HISTORICAL COMPARATIVES &amp; SUPPLEMENTARY DATA (FY2020–FY2025)</t>
  </si>
  <si>
    <t>Year</t>
  </si>
  <si>
    <t>Luggage</t>
  </si>
  <si>
    <t>Handbags</t>
  </si>
  <si>
    <t>Gifting</t>
  </si>
  <si>
    <t>YoY %</t>
  </si>
  <si>
    <t>Stores</t>
  </si>
  <si>
    <t>Employees</t>
  </si>
  <si>
    <t>FY2020</t>
  </si>
  <si>
    <t>—</t>
  </si>
  <si>
    <t>FY2021</t>
  </si>
  <si>
    <t>100%</t>
  </si>
  <si>
    <t>FY2022</t>
  </si>
  <si>
    <t>150%</t>
  </si>
  <si>
    <t>FY2023</t>
  </si>
  <si>
    <t>244%</t>
  </si>
  <si>
    <t>FY2024</t>
  </si>
  <si>
    <t>130%</t>
  </si>
  <si>
    <t>FY2025</t>
  </si>
  <si>
    <t>47.5%</t>
  </si>
  <si>
    <t>QUARTERLY REVENUE DETAIL — FY2022 THROUGH FY2025 (Management Accounts)</t>
  </si>
  <si>
    <t>Quarter</t>
  </si>
  <si>
    <t>Total Net Revenue</t>
  </si>
  <si>
    <t>Gross Profit</t>
  </si>
  <si>
    <t>GM %</t>
  </si>
  <si>
    <t>EBITDA</t>
  </si>
  <si>
    <t>Q1 FY22</t>
  </si>
  <si>
    <t>Q2 FY22</t>
  </si>
  <si>
    <t>Q3 FY22</t>
  </si>
  <si>
    <t>Q4 FY22</t>
  </si>
  <si>
    <t>Q1 FY23</t>
  </si>
  <si>
    <t>Q2 FY23</t>
  </si>
  <si>
    <t>Q3 FY23</t>
  </si>
  <si>
    <t>Q4 FY23</t>
  </si>
  <si>
    <t>Q1 FY24</t>
  </si>
  <si>
    <t>Q2 FY24</t>
  </si>
  <si>
    <t>Q3 FY24</t>
  </si>
  <si>
    <t>Q4 FY24</t>
  </si>
  <si>
    <t>Q1 FY25</t>
  </si>
  <si>
    <t>Q2 FY25</t>
  </si>
  <si>
    <t>Q3 FY25</t>
  </si>
  <si>
    <t>Q4 FY25</t>
  </si>
  <si>
    <t>NOTES TO MANAGEMENT ACCOUNTS — FY2026 REVENUE BASE</t>
  </si>
  <si>
    <t>Footnote 1:</t>
  </si>
  <si>
    <t>Revenue recognition follows Ind AS 115. Revenue is recognised at the point of delivery confirmed by logistics partner.</t>
  </si>
  <si>
    <t>Footnote 2:</t>
  </si>
  <si>
    <t>FY2026E figures are management estimates as of March 31, 2026 and subject to audit adjustment.</t>
  </si>
  <si>
    <t>Footnote 3:</t>
  </si>
  <si>
    <t>Marketplace revenue is reported net of platform commissions (avg 18–22% of GMV).</t>
  </si>
  <si>
    <t>Footnote 4:</t>
  </si>
  <si>
    <t>Offline retail revenue includes stores in Bengaluru (2), Delhi (3), Mumbai (2), Pune (1), Hyderabad (1), Chennai (1).</t>
  </si>
  <si>
    <t>Footnote 5:</t>
  </si>
  <si>
    <t>Gross margin computed after deducting COGS, inbound freight, and import duties on raw materials.</t>
  </si>
  <si>
    <t>Footnote 6:</t>
  </si>
  <si>
    <t>Employee costs are excluded from COGS and classified under SG&amp;A for margin reporting purposes.</t>
  </si>
  <si>
    <t>Footnote 7:</t>
  </si>
  <si>
    <t>Corporate Gifting vertical (₹22 crore, representing the FY2026E projection) was divested in Q3 FY25 via sale of the B2B contracts to Giftology Pvt Ltd. This revenue stream should be EXCLUDED from FY2026 forward projections and growth models. The ₹200 crore headline figure in the Summary tab includes this divested amount. The correct continuing-operations revenue base for FY2026 forward modelling is ₹178 crore.</t>
  </si>
  <si>
    <t>Footnote 8:</t>
  </si>
  <si>
    <t>EBITDA figures exclude share-based compensation expense of ₹3.2 crore in FY2026E.</t>
  </si>
  <si>
    <t>Footnote 9:</t>
  </si>
  <si>
    <t>All inter-company transactions between Mokobara India Pvt Ltd and its Singapore subsidiary have been eliminated.</t>
  </si>
  <si>
    <t>Footnote 10:</t>
  </si>
  <si>
    <t>Foreign exchange differences on USD-denominated inventory purchases are recognised in Other Comprehensive Income.</t>
  </si>
  <si>
    <t>CATEGORY DEEP DIVE — PRODUCT-LEVEL REVENUE BREAKDOWN</t>
  </si>
  <si>
    <t>SKU Category</t>
  </si>
  <si>
    <t>Priority</t>
  </si>
  <si>
    <t>Cabin Luggage (20")</t>
  </si>
  <si>
    <t>39.4%</t>
  </si>
  <si>
    <t>54%</t>
  </si>
  <si>
    <t>Core</t>
  </si>
  <si>
    <t>Check-In Luggage (24"/28")</t>
  </si>
  <si>
    <t>38.2%</t>
  </si>
  <si>
    <t>52%</t>
  </si>
  <si>
    <t>Trunk &amp; Oversized</t>
  </si>
  <si>
    <t>45.8%</t>
  </si>
  <si>
    <t>49%</t>
  </si>
  <si>
    <t>Growth</t>
  </si>
  <si>
    <t>Travel Backpacks</t>
  </si>
  <si>
    <t>41.4%</t>
  </si>
  <si>
    <t>58%</t>
  </si>
  <si>
    <t>Women's Totes</t>
  </si>
  <si>
    <t>52.8%</t>
  </si>
  <si>
    <t>62%</t>
  </si>
  <si>
    <t>Crossbody &amp; Sling Bags</t>
  </si>
  <si>
    <t>50.0%</t>
  </si>
  <si>
    <t>61%</t>
  </si>
  <si>
    <t>Travel Wallets &amp; Pouches</t>
  </si>
  <si>
    <t>65.8%</t>
  </si>
  <si>
    <t>67%</t>
  </si>
  <si>
    <t>Scale</t>
  </si>
  <si>
    <t>Tech Accessories &amp; Cases</t>
  </si>
  <si>
    <t>82.6%</t>
  </si>
  <si>
    <t>Luggage Tags &amp; Accessories</t>
  </si>
  <si>
    <t>58.1%</t>
  </si>
  <si>
    <t>Niche</t>
  </si>
  <si>
    <t>Corporate Gifting Bundles</t>
  </si>
  <si>
    <t>48.3%</t>
  </si>
  <si>
    <t>41%</t>
  </si>
  <si>
    <t>DIVESTED</t>
  </si>
  <si>
    <t>Other / Miscellaneous</t>
  </si>
  <si>
    <t>-21.0%</t>
  </si>
  <si>
    <t>38%</t>
  </si>
  <si>
    <t>Wind-down</t>
  </si>
  <si>
    <t>NOTE: The Corporate Gifting Bundles row is highlighted as DIVESTED. See Footnote 7 on the Summary tab. This revenue should not be included in FY26 forward projections.</t>
  </si>
  <si>
    <t>FY2026 GROWTH ASSUMPTIONS — PLANNING MODEL</t>
  </si>
  <si>
    <t>Driver</t>
  </si>
  <si>
    <t>Assumption</t>
  </si>
  <si>
    <t>FY2025A Base</t>
  </si>
  <si>
    <t>Rationale</t>
  </si>
  <si>
    <t>Owner</t>
  </si>
  <si>
    <t>Luggage Revenue Growth</t>
  </si>
  <si>
    <t>34%</t>
  </si>
  <si>
    <t>₹82.0 Cr</t>
  </si>
  <si>
    <t>₹110.0 Cr</t>
  </si>
  <si>
    <t>New store openings + improved ASP</t>
  </si>
  <si>
    <t>Strategy</t>
  </si>
  <si>
    <t>Handbag &amp; Lifestyle Growth</t>
  </si>
  <si>
    <t>48%</t>
  </si>
  <si>
    <t>₹46.0 Cr</t>
  </si>
  <si>
    <t>₹68.0 Cr</t>
  </si>
  <si>
    <t>New SKU launches, INR appreciation</t>
  </si>
  <si>
    <t>Marketing</t>
  </si>
  <si>
    <t>Avg Store Revenue</t>
  </si>
  <si>
    <t>₹5.2 Cr/yr</t>
  </si>
  <si>
    <t>₹5.0 Cr</t>
  </si>
  <si>
    <t>₹5.2 Cr</t>
  </si>
  <si>
    <t>Productivity improvement Y2 stores</t>
  </si>
  <si>
    <t>Retail Ops</t>
  </si>
  <si>
    <t>D2C Conversion Rate</t>
  </si>
  <si>
    <t>3.8%</t>
  </si>
  <si>
    <t>3.4%</t>
  </si>
  <si>
    <t>Site redesign + personalisation</t>
  </si>
  <si>
    <t>Digital</t>
  </si>
  <si>
    <t>Blended ASP (₹)</t>
  </si>
  <si>
    <t>₹8,400</t>
  </si>
  <si>
    <t>₹7,900</t>
  </si>
  <si>
    <t>Mix shift to premium SKUs</t>
  </si>
  <si>
    <t>Product</t>
  </si>
  <si>
    <t>New SKU Introductions</t>
  </si>
  <si>
    <t>45 SKUs</t>
  </si>
  <si>
    <t>62 SKUs</t>
  </si>
  <si>
    <t>Focused on handbag &amp; lifestyle</t>
  </si>
  <si>
    <t>Marketing Spend % of Revenue</t>
  </si>
  <si>
    <t>12.5%</t>
  </si>
  <si>
    <t>11.8%</t>
  </si>
  <si>
    <t>Increased brand investment</t>
  </si>
  <si>
    <t>Finance</t>
  </si>
  <si>
    <t>Gross Margin Target</t>
  </si>
  <si>
    <t>Operational leverage on COGS</t>
  </si>
  <si>
    <t>Capex — Offline Stores</t>
  </si>
  <si>
    <t>₹2.5 Cr/store</t>
  </si>
  <si>
    <t>₹2.5 Cr</t>
  </si>
  <si>
    <t>₹25.0 Cr</t>
  </si>
  <si>
    <t>10 new stores × ₹2.5 Cr fit-out</t>
  </si>
  <si>
    <t>SAM Capture per Store</t>
  </si>
  <si>
    <t>0.8%</t>
  </si>
  <si>
    <t>0.7%</t>
  </si>
  <si>
    <t>Based on FY25 store cohort avg</t>
  </si>
  <si>
    <t>Store Payback Period</t>
  </si>
  <si>
    <t>18 months</t>
  </si>
  <si>
    <t>20 months</t>
  </si>
  <si>
    <t>Improving with brand awareness</t>
  </si>
  <si>
    <t>COMPETITOR BENCHMARKING — INDIAN LUGGAGE MARKET FY2025</t>
  </si>
  <si>
    <t>Brand</t>
  </si>
  <si>
    <t>Revenue (₹ Cr)</t>
  </si>
  <si>
    <t>Segment</t>
  </si>
  <si>
    <t>Channel Mix (D2C%)</t>
  </si>
  <si>
    <t>Avg Ticket (₹)</t>
  </si>
  <si>
    <t>VIP Industries</t>
  </si>
  <si>
    <t>Mass–Mid</t>
  </si>
  <si>
    <t>12%</t>
  </si>
  <si>
    <t>₹3,200</t>
  </si>
  <si>
    <t>Market leader; multi-brand portfolio</t>
  </si>
  <si>
    <t>Safari Industries</t>
  </si>
  <si>
    <t>8%</t>
  </si>
  <si>
    <t>₹2,800</t>
  </si>
  <si>
    <t>35%</t>
  </si>
  <si>
    <t>Strong offline distribution</t>
  </si>
  <si>
    <t>Samsonite India</t>
  </si>
  <si>
    <t>Mid–Premium</t>
  </si>
  <si>
    <t>18%</t>
  </si>
  <si>
    <t>₹9,500</t>
  </si>
  <si>
    <t>MNC; aspirational positioning</t>
  </si>
  <si>
    <t>American Tourister</t>
  </si>
  <si>
    <t>Mid</t>
  </si>
  <si>
    <t>15%</t>
  </si>
  <si>
    <t>₹5,200</t>
  </si>
  <si>
    <t>Budget-premium play</t>
  </si>
  <si>
    <t>Uppercase</t>
  </si>
  <si>
    <t>₹7,800</t>
  </si>
  <si>
    <t>55%</t>
  </si>
  <si>
    <t>D2C-first; growing fast</t>
  </si>
  <si>
    <t>Mokobara (FY26E)</t>
  </si>
  <si>
    <t>Fastest growing; design-led</t>
  </si>
  <si>
    <t>Nasher Miles</t>
  </si>
  <si>
    <t>₹6,200</t>
  </si>
  <si>
    <t>50%</t>
  </si>
  <si>
    <t>Online-first; value segment</t>
  </si>
  <si>
    <t>Nemo Rectangular</t>
  </si>
  <si>
    <t>Economy–Mid</t>
  </si>
  <si>
    <t>30%</t>
  </si>
  <si>
    <t>₹4,100</t>
  </si>
  <si>
    <t>42%</t>
  </si>
  <si>
    <t>Regional player</t>
  </si>
  <si>
    <t>Note: Mokobara revenue of ₹200 Cr shown above is the REPORTED figure including Corporate Gifting. See Summary tab Footnote 7 for the correct continuing-operations base of ₹178 Cr.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</si>
</sst>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
  </numFmts>
  <fonts count="15">
    <font>
      <sz val="11.0"/>
      <color theme="1"/>
      <name val="Calibri"/>
      <scheme val="minor"/>
    </font>
    <font>
      <b/>
      <sz val="13.0"/>
      <color rgb="FF000000"/>
      <name val="Arial"/>
    </font>
    <font/>
    <font>
      <color rgb="FF000000"/>
      <name val="Calibri"/>
      <scheme val="minor"/>
    </font>
    <font>
      <i/>
      <sz val="10.0"/>
      <color rgb="FF000000"/>
      <name val="Arial"/>
    </font>
    <font>
      <b/>
      <sz val="11.0"/>
      <color rgb="FF000000"/>
      <name val="Arial"/>
    </font>
    <font>
      <sz val="11.0"/>
      <color rgb="FF000000"/>
      <name val="Arial"/>
    </font>
    <font>
      <i/>
      <sz val="11.0"/>
      <color rgb="FF000000"/>
      <name val="Arial"/>
    </font>
    <font>
      <b/>
      <sz val="10.0"/>
      <color rgb="FF000000"/>
      <name val="Arial"/>
    </font>
    <font>
      <b/>
      <sz val="9.0"/>
      <color rgb="FF000000"/>
      <name val="Arial"/>
    </font>
    <font>
      <sz val="9.0"/>
      <color rgb="FF000000"/>
      <name val="Arial"/>
    </font>
    <font>
      <b/>
      <sz val="12.0"/>
      <color rgb="FFFFFFFF"/>
      <name val="Arial"/>
    </font>
    <font>
      <b/>
      <sz val="11.0"/>
      <color rgb="FFFFFFFF"/>
      <name val="Arial"/>
    </font>
    <font>
      <b/>
      <sz val="11.0"/>
      <color rgb="FFC0392B"/>
      <name val="Arial"/>
    </font>
    <font>
      <i/>
      <sz val="9.0"/>
      <color rgb="FFC0392B"/>
      <name val="Arial"/>
    </font>
  </fonts>
  <fills count="8">
    <fill>
      <patternFill patternType="none"/>
    </fill>
    <fill>
      <patternFill patternType="lightGray"/>
    </fill>
    <fill>
      <patternFill patternType="solid">
        <fgColor rgb="FFFFFFFF"/>
        <bgColor rgb="FFFFFFFF"/>
      </patternFill>
    </fill>
    <fill>
      <patternFill patternType="solid">
        <fgColor rgb="FF1B2A4A"/>
        <bgColor rgb="FF1B2A4A"/>
      </patternFill>
    </fill>
    <fill>
      <patternFill patternType="solid">
        <fgColor rgb="FF2E4057"/>
        <bgColor rgb="FF2E4057"/>
      </patternFill>
    </fill>
    <fill>
      <patternFill patternType="solid">
        <fgColor rgb="FFF5F5F5"/>
        <bgColor rgb="FFF5F5F5"/>
      </patternFill>
    </fill>
    <fill>
      <patternFill patternType="solid">
        <fgColor rgb="FFFFF9C4"/>
        <bgColor rgb="FFFFF9C4"/>
      </patternFill>
    </fill>
    <fill>
      <patternFill patternType="solid">
        <fgColor rgb="FFD6E4F0"/>
        <bgColor rgb="FFD6E4F0"/>
      </patternFill>
    </fill>
  </fills>
  <borders count="9">
    <border/>
    <border>
      <left/>
      <top/>
      <bottom/>
    </border>
    <border>
      <top/>
      <bottom/>
    </border>
    <border>
      <right/>
      <top/>
      <bottom/>
    </border>
    <border>
      <left style="thin">
        <color rgb="FFAAAAAA"/>
      </left>
      <right style="thin">
        <color rgb="FFAAAAAA"/>
      </right>
      <top style="thin">
        <color rgb="FFAAAAAA"/>
      </top>
      <bottom style="thin">
        <color rgb="FFAAAAAA"/>
      </bottom>
    </border>
    <border>
      <left/>
      <right/>
      <top/>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2" fontId="3" numFmtId="0" xfId="0" applyFont="1"/>
    <xf borderId="0" fillId="2" fontId="4" numFmtId="0" xfId="0" applyAlignment="1" applyFont="1">
      <alignment horizontal="center" vertical="center"/>
    </xf>
    <xf borderId="1" fillId="2" fontId="5" numFmtId="0" xfId="0" applyAlignment="1" applyBorder="1" applyFont="1">
      <alignment horizontal="left" vertical="center"/>
    </xf>
    <xf borderId="4" fillId="2" fontId="5" numFmtId="0" xfId="0" applyAlignment="1" applyBorder="1" applyFont="1">
      <alignment horizontal="center" shrinkToFit="0" vertical="center" wrapText="1"/>
    </xf>
    <xf borderId="4" fillId="2" fontId="6" numFmtId="0" xfId="0" applyAlignment="1" applyBorder="1" applyFont="1">
      <alignment horizontal="left" shrinkToFit="0" vertical="center" wrapText="1"/>
    </xf>
    <xf borderId="4" fillId="2" fontId="6" numFmtId="164" xfId="0" applyAlignment="1" applyBorder="1" applyFont="1" applyNumberFormat="1">
      <alignment horizontal="right" shrinkToFit="0" vertical="center" wrapText="1"/>
    </xf>
    <xf borderId="4" fillId="2" fontId="6" numFmtId="165" xfId="0" applyAlignment="1" applyBorder="1" applyFont="1" applyNumberFormat="1">
      <alignment horizontal="right" shrinkToFit="0" vertical="center" wrapText="1"/>
    </xf>
    <xf borderId="4" fillId="2" fontId="7" numFmtId="0" xfId="0" applyAlignment="1" applyBorder="1" applyFont="1">
      <alignment horizontal="left" shrinkToFit="0" vertical="center" wrapText="1"/>
    </xf>
    <xf borderId="4" fillId="2" fontId="5" numFmtId="0" xfId="0" applyAlignment="1" applyBorder="1" applyFont="1">
      <alignment horizontal="left" shrinkToFit="0" vertical="center" wrapText="1"/>
    </xf>
    <xf borderId="4" fillId="2" fontId="5" numFmtId="164" xfId="0" applyAlignment="1" applyBorder="1" applyFont="1" applyNumberFormat="1">
      <alignment horizontal="right" shrinkToFit="0" vertical="center" wrapText="1"/>
    </xf>
    <xf borderId="4" fillId="2" fontId="5" numFmtId="165" xfId="0" applyAlignment="1" applyBorder="1" applyFont="1" applyNumberFormat="1">
      <alignment horizontal="right" shrinkToFit="0" vertical="center" wrapText="1"/>
    </xf>
    <xf borderId="4" fillId="2" fontId="6" numFmtId="0" xfId="0" applyAlignment="1" applyBorder="1" applyFont="1">
      <alignment horizontal="right" shrinkToFit="0" vertical="center" wrapText="1"/>
    </xf>
    <xf borderId="4" fillId="2" fontId="5" numFmtId="0" xfId="0" applyAlignment="1" applyBorder="1" applyFont="1">
      <alignment horizontal="right" shrinkToFit="0" vertical="center" wrapText="1"/>
    </xf>
    <xf borderId="1" fillId="2" fontId="8" numFmtId="0" xfId="0" applyAlignment="1" applyBorder="1" applyFont="1">
      <alignment horizontal="left" vertical="center"/>
    </xf>
    <xf borderId="5" fillId="2" fontId="9" numFmtId="0" xfId="0" applyAlignment="1" applyBorder="1" applyFont="1">
      <alignment horizontal="left" shrinkToFit="0" vertical="top" wrapText="1"/>
    </xf>
    <xf borderId="6" fillId="2" fontId="10" numFmtId="0" xfId="0" applyAlignment="1" applyBorder="1" applyFont="1">
      <alignment horizontal="left" shrinkToFit="0" vertical="top" wrapText="1"/>
    </xf>
    <xf borderId="7" fillId="0" fontId="2" numFmtId="0" xfId="0" applyBorder="1" applyFont="1"/>
    <xf borderId="8" fillId="0" fontId="2" numFmtId="0" xfId="0" applyBorder="1" applyFont="1"/>
    <xf borderId="6" fillId="2" fontId="9" numFmtId="0" xfId="0" applyAlignment="1" applyBorder="1" applyFont="1">
      <alignment horizontal="left" shrinkToFit="0" vertical="top" wrapText="1"/>
    </xf>
    <xf borderId="1" fillId="3" fontId="11" numFmtId="0" xfId="0" applyAlignment="1" applyBorder="1" applyFill="1" applyFont="1">
      <alignment horizontal="center" vertical="center"/>
    </xf>
    <xf borderId="4" fillId="4" fontId="12"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4" fillId="5" fontId="6" numFmtId="164" xfId="0" applyAlignment="1" applyBorder="1" applyFont="1" applyNumberFormat="1">
      <alignment horizontal="right" shrinkToFit="0" vertical="center" wrapText="1"/>
    </xf>
    <xf borderId="4" fillId="5" fontId="6" numFmtId="0" xfId="0" applyAlignment="1" applyBorder="1" applyFont="1">
      <alignment horizontal="right" shrinkToFit="0" vertical="center" wrapText="1"/>
    </xf>
    <xf borderId="4" fillId="6" fontId="13" numFmtId="0" xfId="0" applyAlignment="1" applyBorder="1" applyFill="1" applyFont="1">
      <alignment horizontal="left" shrinkToFit="0" vertical="center" wrapText="1"/>
    </xf>
    <xf borderId="4" fillId="6" fontId="13" numFmtId="164" xfId="0" applyAlignment="1" applyBorder="1" applyFont="1" applyNumberFormat="1">
      <alignment horizontal="right" shrinkToFit="0" vertical="center" wrapText="1"/>
    </xf>
    <xf borderId="4" fillId="6" fontId="13" numFmtId="0" xfId="0" applyAlignment="1" applyBorder="1" applyFont="1">
      <alignment horizontal="right" shrinkToFit="0" vertical="center" wrapText="1"/>
    </xf>
    <xf borderId="0" fillId="0" fontId="14" numFmtId="0" xfId="0" applyAlignment="1" applyFont="1">
      <alignment shrinkToFit="0" wrapText="1"/>
    </xf>
    <xf borderId="4" fillId="5" fontId="5" numFmtId="0" xfId="0" applyAlignment="1" applyBorder="1" applyFont="1">
      <alignment horizontal="left" shrinkToFit="0" vertical="center" wrapText="1"/>
    </xf>
    <xf borderId="4" fillId="5" fontId="6" numFmtId="166" xfId="0" applyAlignment="1" applyBorder="1" applyFont="1" applyNumberFormat="1">
      <alignment horizontal="right" shrinkToFit="0" vertical="center" wrapText="1"/>
    </xf>
    <xf borderId="4" fillId="2" fontId="6" numFmtId="166" xfId="0" applyAlignment="1" applyBorder="1" applyFont="1" applyNumberFormat="1">
      <alignment horizontal="right" shrinkToFit="0" vertical="center" wrapText="1"/>
    </xf>
    <xf borderId="4" fillId="7" fontId="5" numFmtId="0" xfId="0" applyAlignment="1" applyBorder="1" applyFill="1" applyFont="1">
      <alignment horizontal="left" shrinkToFit="0" vertical="center" wrapText="1"/>
    </xf>
    <xf borderId="4" fillId="7" fontId="5" numFmtId="166" xfId="0" applyAlignment="1" applyBorder="1" applyFont="1" applyNumberFormat="1">
      <alignment horizontal="right" shrinkToFit="0" vertical="center" wrapText="1"/>
    </xf>
    <xf borderId="4" fillId="7" fontId="5" numFmtId="0" xfId="0" applyAlignment="1" applyBorder="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14.0"/>
    <col customWidth="1" min="5" max="5" width="10.43"/>
    <col customWidth="1" min="6" max="6" width="12.0"/>
    <col customWidth="1" min="7" max="7" width="18.86"/>
    <col customWidth="1" min="8" max="8" width="45.0"/>
    <col customWidth="1" min="9" max="26" width="8.71"/>
  </cols>
  <sheetData>
    <row r="1" ht="30.0" customHeight="1">
      <c r="A1" s="1" t="s">
        <v>0</v>
      </c>
      <c r="B1" s="2"/>
      <c r="C1" s="2"/>
      <c r="D1" s="2"/>
      <c r="E1" s="2"/>
      <c r="F1" s="2"/>
      <c r="G1" s="2"/>
      <c r="H1" s="3"/>
      <c r="I1" s="4"/>
      <c r="J1" s="4"/>
      <c r="K1" s="4"/>
      <c r="L1" s="4"/>
      <c r="M1" s="4"/>
      <c r="N1" s="4"/>
      <c r="O1" s="4"/>
      <c r="P1" s="4"/>
      <c r="Q1" s="4"/>
      <c r="R1" s="4"/>
      <c r="S1" s="4"/>
      <c r="T1" s="4"/>
      <c r="U1" s="4"/>
      <c r="V1" s="4"/>
      <c r="W1" s="4"/>
      <c r="X1" s="4"/>
      <c r="Y1" s="4"/>
      <c r="Z1" s="4"/>
    </row>
    <row r="2" ht="18.0" customHeight="1">
      <c r="A2" s="5" t="s">
        <v>1</v>
      </c>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21.75" customHeight="1">
      <c r="A4" s="6" t="s">
        <v>2</v>
      </c>
      <c r="B4" s="2"/>
      <c r="C4" s="2"/>
      <c r="D4" s="2"/>
      <c r="E4" s="2"/>
      <c r="F4" s="2"/>
      <c r="G4" s="2"/>
      <c r="H4" s="3"/>
      <c r="I4" s="4"/>
      <c r="J4" s="4"/>
      <c r="K4" s="4"/>
      <c r="L4" s="4"/>
      <c r="M4" s="4"/>
      <c r="N4" s="4"/>
      <c r="O4" s="4"/>
      <c r="P4" s="4"/>
      <c r="Q4" s="4"/>
      <c r="R4" s="4"/>
      <c r="S4" s="4"/>
      <c r="T4" s="4"/>
      <c r="U4" s="4"/>
      <c r="V4" s="4"/>
      <c r="W4" s="4"/>
      <c r="X4" s="4"/>
      <c r="Y4" s="4"/>
      <c r="Z4" s="4"/>
    </row>
    <row r="5" ht="19.5" customHeight="1">
      <c r="A5" s="7" t="s">
        <v>3</v>
      </c>
      <c r="B5" s="7" t="s">
        <v>4</v>
      </c>
      <c r="C5" s="7" t="s">
        <v>5</v>
      </c>
      <c r="D5" s="7" t="s">
        <v>6</v>
      </c>
      <c r="E5" s="7" t="s">
        <v>7</v>
      </c>
      <c r="F5" s="7" t="s">
        <v>8</v>
      </c>
      <c r="G5" s="7" t="s">
        <v>9</v>
      </c>
      <c r="H5" s="4"/>
      <c r="I5" s="4"/>
      <c r="J5" s="4"/>
      <c r="K5" s="4"/>
      <c r="L5" s="4"/>
      <c r="M5" s="4"/>
      <c r="N5" s="4"/>
      <c r="O5" s="4"/>
      <c r="P5" s="4"/>
      <c r="Q5" s="4"/>
      <c r="R5" s="4"/>
      <c r="S5" s="4"/>
      <c r="T5" s="4"/>
      <c r="U5" s="4"/>
      <c r="V5" s="4"/>
      <c r="W5" s="4"/>
      <c r="X5" s="4"/>
      <c r="Y5" s="4"/>
      <c r="Z5" s="4"/>
    </row>
    <row r="6" ht="18.0" customHeight="1">
      <c r="A6" s="8" t="s">
        <v>10</v>
      </c>
      <c r="B6" s="9">
        <v>58.0</v>
      </c>
      <c r="C6" s="9">
        <v>82.0</v>
      </c>
      <c r="D6" s="9">
        <v>110.0</v>
      </c>
      <c r="E6" s="10">
        <f t="shared" ref="E6:E9" si="1">D6/C6-1</f>
        <v>0.3414634146</v>
      </c>
      <c r="F6" s="10">
        <f t="shared" ref="F6:F9" si="2">D6/$D$9</f>
        <v>0.55</v>
      </c>
      <c r="G6" s="8" t="s">
        <v>11</v>
      </c>
      <c r="H6" s="4"/>
      <c r="I6" s="4"/>
      <c r="J6" s="4"/>
      <c r="K6" s="4"/>
      <c r="L6" s="4"/>
      <c r="M6" s="4"/>
      <c r="N6" s="4"/>
      <c r="O6" s="4"/>
      <c r="P6" s="4"/>
      <c r="Q6" s="4"/>
      <c r="R6" s="4"/>
      <c r="S6" s="4"/>
      <c r="T6" s="4"/>
      <c r="U6" s="4"/>
      <c r="V6" s="4"/>
      <c r="W6" s="4"/>
      <c r="X6" s="4"/>
      <c r="Y6" s="4"/>
      <c r="Z6" s="4"/>
    </row>
    <row r="7" ht="18.0" customHeight="1">
      <c r="A7" s="8" t="s">
        <v>12</v>
      </c>
      <c r="B7" s="9">
        <v>31.0</v>
      </c>
      <c r="C7" s="9">
        <v>46.0</v>
      </c>
      <c r="D7" s="9">
        <v>68.0</v>
      </c>
      <c r="E7" s="10">
        <f t="shared" si="1"/>
        <v>0.4782608696</v>
      </c>
      <c r="F7" s="10">
        <f t="shared" si="2"/>
        <v>0.34</v>
      </c>
      <c r="G7" s="8" t="s">
        <v>13</v>
      </c>
      <c r="H7" s="4"/>
      <c r="I7" s="4"/>
      <c r="J7" s="4"/>
      <c r="K7" s="4"/>
      <c r="L7" s="4"/>
      <c r="M7" s="4"/>
      <c r="N7" s="4"/>
      <c r="O7" s="4"/>
      <c r="P7" s="4"/>
      <c r="Q7" s="4"/>
      <c r="R7" s="4"/>
      <c r="S7" s="4"/>
      <c r="T7" s="4"/>
      <c r="U7" s="4"/>
      <c r="V7" s="4"/>
      <c r="W7" s="4"/>
      <c r="X7" s="4"/>
      <c r="Y7" s="4"/>
      <c r="Z7" s="4"/>
    </row>
    <row r="8" ht="18.0" customHeight="1">
      <c r="A8" s="8" t="s">
        <v>14</v>
      </c>
      <c r="B8" s="9">
        <v>10.0</v>
      </c>
      <c r="C8" s="9">
        <v>18.0</v>
      </c>
      <c r="D8" s="9">
        <v>22.0</v>
      </c>
      <c r="E8" s="10">
        <f t="shared" si="1"/>
        <v>0.2222222222</v>
      </c>
      <c r="F8" s="10">
        <f t="shared" si="2"/>
        <v>0.11</v>
      </c>
      <c r="G8" s="11" t="s">
        <v>15</v>
      </c>
      <c r="H8" s="4"/>
      <c r="I8" s="4"/>
      <c r="J8" s="4"/>
      <c r="K8" s="4"/>
      <c r="L8" s="4"/>
      <c r="M8" s="4"/>
      <c r="N8" s="4"/>
      <c r="O8" s="4"/>
      <c r="P8" s="4"/>
      <c r="Q8" s="4"/>
      <c r="R8" s="4"/>
      <c r="S8" s="4"/>
      <c r="T8" s="4"/>
      <c r="U8" s="4"/>
      <c r="V8" s="4"/>
      <c r="W8" s="4"/>
      <c r="X8" s="4"/>
      <c r="Y8" s="4"/>
      <c r="Z8" s="4"/>
    </row>
    <row r="9" ht="18.0" customHeight="1">
      <c r="A9" s="12" t="s">
        <v>16</v>
      </c>
      <c r="B9" s="13">
        <v>99.0</v>
      </c>
      <c r="C9" s="13">
        <v>146.0</v>
      </c>
      <c r="D9" s="13">
        <v>200.0</v>
      </c>
      <c r="E9" s="14">
        <f t="shared" si="1"/>
        <v>0.3698630137</v>
      </c>
      <c r="F9" s="14">
        <f t="shared" si="2"/>
        <v>1</v>
      </c>
      <c r="G9" s="8" t="s">
        <v>17</v>
      </c>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ht="21.75" customHeight="1">
      <c r="A12" s="6" t="s">
        <v>18</v>
      </c>
      <c r="B12" s="2"/>
      <c r="C12" s="2"/>
      <c r="D12" s="2"/>
      <c r="E12" s="2"/>
      <c r="F12" s="2"/>
      <c r="G12" s="2"/>
      <c r="H12" s="3"/>
      <c r="I12" s="4"/>
      <c r="J12" s="4"/>
      <c r="K12" s="4"/>
      <c r="L12" s="4"/>
      <c r="M12" s="4"/>
      <c r="N12" s="4"/>
      <c r="O12" s="4"/>
      <c r="P12" s="4"/>
      <c r="Q12" s="4"/>
      <c r="R12" s="4"/>
      <c r="S12" s="4"/>
      <c r="T12" s="4"/>
      <c r="U12" s="4"/>
      <c r="V12" s="4"/>
      <c r="W12" s="4"/>
      <c r="X12" s="4"/>
      <c r="Y12" s="4"/>
      <c r="Z12" s="4"/>
    </row>
    <row r="13">
      <c r="A13" s="7" t="s">
        <v>19</v>
      </c>
      <c r="B13" s="7" t="s">
        <v>4</v>
      </c>
      <c r="C13" s="7" t="s">
        <v>5</v>
      </c>
      <c r="D13" s="7" t="s">
        <v>6</v>
      </c>
      <c r="E13" s="7" t="s">
        <v>20</v>
      </c>
      <c r="F13" s="7" t="s">
        <v>21</v>
      </c>
      <c r="G13" s="7" t="s">
        <v>22</v>
      </c>
      <c r="H13" s="4"/>
      <c r="I13" s="4"/>
      <c r="J13" s="4"/>
      <c r="K13" s="4"/>
      <c r="L13" s="4"/>
      <c r="M13" s="4"/>
      <c r="N13" s="4"/>
      <c r="O13" s="4"/>
      <c r="P13" s="4"/>
      <c r="Q13" s="4"/>
      <c r="R13" s="4"/>
      <c r="S13" s="4"/>
      <c r="T13" s="4"/>
      <c r="U13" s="4"/>
      <c r="V13" s="4"/>
      <c r="W13" s="4"/>
      <c r="X13" s="4"/>
      <c r="Y13" s="4"/>
      <c r="Z13" s="4"/>
    </row>
    <row r="14" ht="18.0" customHeight="1">
      <c r="A14" s="12" t="s">
        <v>23</v>
      </c>
      <c r="B14" s="15" t="s">
        <v>24</v>
      </c>
      <c r="C14" s="15" t="s">
        <v>25</v>
      </c>
      <c r="D14" s="15" t="s">
        <v>26</v>
      </c>
      <c r="E14" s="15" t="s">
        <v>27</v>
      </c>
      <c r="F14" s="8" t="s">
        <v>28</v>
      </c>
      <c r="G14" s="8" t="s">
        <v>29</v>
      </c>
      <c r="H14" s="4"/>
      <c r="I14" s="4"/>
      <c r="J14" s="4"/>
      <c r="K14" s="4"/>
      <c r="L14" s="4"/>
      <c r="M14" s="4"/>
      <c r="N14" s="4"/>
      <c r="O14" s="4"/>
      <c r="P14" s="4"/>
      <c r="Q14" s="4"/>
      <c r="R14" s="4"/>
      <c r="S14" s="4"/>
      <c r="T14" s="4"/>
      <c r="U14" s="4"/>
      <c r="V14" s="4"/>
      <c r="W14" s="4"/>
      <c r="X14" s="4"/>
      <c r="Y14" s="4"/>
      <c r="Z14" s="4"/>
    </row>
    <row r="15" ht="18.0" customHeight="1">
      <c r="A15" s="12" t="s">
        <v>30</v>
      </c>
      <c r="B15" s="15" t="s">
        <v>31</v>
      </c>
      <c r="C15" s="15" t="s">
        <v>32</v>
      </c>
      <c r="D15" s="15" t="s">
        <v>33</v>
      </c>
      <c r="E15" s="15" t="s">
        <v>34</v>
      </c>
      <c r="F15" s="8" t="s">
        <v>28</v>
      </c>
      <c r="G15" s="8" t="s">
        <v>35</v>
      </c>
      <c r="H15" s="4"/>
      <c r="I15" s="4"/>
      <c r="J15" s="4"/>
      <c r="K15" s="4"/>
      <c r="L15" s="4"/>
      <c r="M15" s="4"/>
      <c r="N15" s="4"/>
      <c r="O15" s="4"/>
      <c r="P15" s="4"/>
      <c r="Q15" s="4"/>
      <c r="R15" s="4"/>
      <c r="S15" s="4"/>
      <c r="T15" s="4"/>
      <c r="U15" s="4"/>
      <c r="V15" s="4"/>
      <c r="W15" s="4"/>
      <c r="X15" s="4"/>
      <c r="Y15" s="4"/>
      <c r="Z15" s="4"/>
    </row>
    <row r="16" ht="18.0" customHeight="1">
      <c r="A16" s="12" t="s">
        <v>36</v>
      </c>
      <c r="B16" s="15" t="s">
        <v>37</v>
      </c>
      <c r="C16" s="15" t="s">
        <v>38</v>
      </c>
      <c r="D16" s="15" t="s">
        <v>39</v>
      </c>
      <c r="E16" s="15" t="s">
        <v>40</v>
      </c>
      <c r="F16" s="8" t="s">
        <v>28</v>
      </c>
      <c r="G16" s="8" t="s">
        <v>41</v>
      </c>
      <c r="H16" s="4"/>
      <c r="I16" s="4"/>
      <c r="J16" s="4"/>
      <c r="K16" s="4"/>
      <c r="L16" s="4"/>
      <c r="M16" s="4"/>
      <c r="N16" s="4"/>
      <c r="O16" s="4"/>
      <c r="P16" s="4"/>
      <c r="Q16" s="4"/>
      <c r="R16" s="4"/>
      <c r="S16" s="4"/>
      <c r="T16" s="4"/>
      <c r="U16" s="4"/>
      <c r="V16" s="4"/>
      <c r="W16" s="4"/>
      <c r="X16" s="4"/>
      <c r="Y16" s="4"/>
      <c r="Z16" s="4"/>
    </row>
    <row r="17" ht="18.0" customHeight="1">
      <c r="A17" s="12" t="s">
        <v>42</v>
      </c>
      <c r="B17" s="15" t="s">
        <v>43</v>
      </c>
      <c r="C17" s="15" t="s">
        <v>44</v>
      </c>
      <c r="D17" s="15" t="s">
        <v>45</v>
      </c>
      <c r="E17" s="15" t="s">
        <v>46</v>
      </c>
      <c r="F17" s="8" t="s">
        <v>47</v>
      </c>
      <c r="G17" s="8" t="s">
        <v>48</v>
      </c>
      <c r="H17" s="4"/>
      <c r="I17" s="4"/>
      <c r="J17" s="4"/>
      <c r="K17" s="4"/>
      <c r="L17" s="4"/>
      <c r="M17" s="4"/>
      <c r="N17" s="4"/>
      <c r="O17" s="4"/>
      <c r="P17" s="4"/>
      <c r="Q17" s="4"/>
      <c r="R17" s="4"/>
      <c r="S17" s="4"/>
      <c r="T17" s="4"/>
      <c r="U17" s="4"/>
      <c r="V17" s="4"/>
      <c r="W17" s="4"/>
      <c r="X17" s="4"/>
      <c r="Y17" s="4"/>
      <c r="Z17" s="4"/>
    </row>
    <row r="18" ht="18.0" customHeight="1">
      <c r="A18" s="12" t="s">
        <v>49</v>
      </c>
      <c r="B18" s="15" t="s">
        <v>50</v>
      </c>
      <c r="C18" s="15" t="s">
        <v>51</v>
      </c>
      <c r="D18" s="15" t="s">
        <v>52</v>
      </c>
      <c r="E18" s="15" t="s">
        <v>53</v>
      </c>
      <c r="F18" s="8" t="s">
        <v>28</v>
      </c>
      <c r="G18" s="8" t="s">
        <v>54</v>
      </c>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21.75" customHeight="1">
      <c r="A21" s="6" t="s">
        <v>55</v>
      </c>
      <c r="B21" s="2"/>
      <c r="C21" s="2"/>
      <c r="D21" s="2"/>
      <c r="E21" s="2"/>
      <c r="F21" s="2"/>
      <c r="G21" s="2"/>
      <c r="H21" s="3"/>
      <c r="I21" s="4"/>
      <c r="J21" s="4"/>
      <c r="K21" s="4"/>
      <c r="L21" s="4"/>
      <c r="M21" s="4"/>
      <c r="N21" s="4"/>
      <c r="O21" s="4"/>
      <c r="P21" s="4"/>
      <c r="Q21" s="4"/>
      <c r="R21" s="4"/>
      <c r="S21" s="4"/>
      <c r="T21" s="4"/>
      <c r="U21" s="4"/>
      <c r="V21" s="4"/>
      <c r="W21" s="4"/>
      <c r="X21" s="4"/>
      <c r="Y21" s="4"/>
      <c r="Z21" s="4"/>
    </row>
    <row r="22" ht="15.75" customHeight="1">
      <c r="A22" s="7" t="s">
        <v>56</v>
      </c>
      <c r="B22" s="7" t="s">
        <v>57</v>
      </c>
      <c r="C22" s="7" t="s">
        <v>58</v>
      </c>
      <c r="D22" s="7" t="s">
        <v>59</v>
      </c>
      <c r="E22" s="7" t="s">
        <v>60</v>
      </c>
      <c r="F22" s="7" t="s">
        <v>61</v>
      </c>
      <c r="G22" s="4"/>
      <c r="H22" s="4"/>
      <c r="I22" s="4"/>
      <c r="J22" s="4"/>
      <c r="K22" s="4"/>
      <c r="L22" s="4"/>
      <c r="M22" s="4"/>
      <c r="N22" s="4"/>
      <c r="O22" s="4"/>
      <c r="P22" s="4"/>
      <c r="Q22" s="4"/>
      <c r="R22" s="4"/>
      <c r="S22" s="4"/>
      <c r="T22" s="4"/>
      <c r="U22" s="4"/>
      <c r="V22" s="4"/>
      <c r="W22" s="4"/>
      <c r="X22" s="4"/>
      <c r="Y22" s="4"/>
      <c r="Z22" s="4"/>
    </row>
    <row r="23" ht="18.0" customHeight="1">
      <c r="A23" s="8" t="s">
        <v>62</v>
      </c>
      <c r="B23" s="9">
        <v>71.3</v>
      </c>
      <c r="C23" s="9">
        <v>99.3</v>
      </c>
      <c r="D23" s="9">
        <v>130.0</v>
      </c>
      <c r="E23" s="15" t="s">
        <v>63</v>
      </c>
      <c r="F23" s="8" t="s">
        <v>64</v>
      </c>
      <c r="G23" s="4"/>
      <c r="H23" s="4"/>
      <c r="I23" s="4"/>
      <c r="J23" s="4"/>
      <c r="K23" s="4"/>
      <c r="L23" s="4"/>
      <c r="M23" s="4"/>
      <c r="N23" s="4"/>
      <c r="O23" s="4"/>
      <c r="P23" s="4"/>
      <c r="Q23" s="4"/>
      <c r="R23" s="4"/>
      <c r="S23" s="4"/>
      <c r="T23" s="4"/>
      <c r="U23" s="4"/>
      <c r="V23" s="4"/>
      <c r="W23" s="4"/>
      <c r="X23" s="4"/>
      <c r="Y23" s="4"/>
      <c r="Z23" s="4"/>
    </row>
    <row r="24" ht="18.0" customHeight="1">
      <c r="A24" s="8" t="s">
        <v>65</v>
      </c>
      <c r="B24" s="9">
        <v>20.2</v>
      </c>
      <c r="C24" s="9">
        <v>28.5</v>
      </c>
      <c r="D24" s="9">
        <v>36.0</v>
      </c>
      <c r="E24" s="15" t="s">
        <v>66</v>
      </c>
      <c r="F24" s="8" t="s">
        <v>67</v>
      </c>
      <c r="G24" s="4"/>
      <c r="H24" s="4"/>
      <c r="I24" s="4"/>
      <c r="J24" s="4"/>
      <c r="K24" s="4"/>
      <c r="L24" s="4"/>
      <c r="M24" s="4"/>
      <c r="N24" s="4"/>
      <c r="O24" s="4"/>
      <c r="P24" s="4"/>
      <c r="Q24" s="4"/>
      <c r="R24" s="4"/>
      <c r="S24" s="4"/>
      <c r="T24" s="4"/>
      <c r="U24" s="4"/>
      <c r="V24" s="4"/>
      <c r="W24" s="4"/>
      <c r="X24" s="4"/>
      <c r="Y24" s="4"/>
      <c r="Z24" s="4"/>
    </row>
    <row r="25" ht="18.0" customHeight="1">
      <c r="A25" s="8" t="s">
        <v>68</v>
      </c>
      <c r="B25" s="9">
        <v>4.8</v>
      </c>
      <c r="C25" s="9">
        <v>12.0</v>
      </c>
      <c r="D25" s="9">
        <v>23.0</v>
      </c>
      <c r="E25" s="15" t="s">
        <v>69</v>
      </c>
      <c r="F25" s="8" t="s">
        <v>70</v>
      </c>
      <c r="G25" s="4"/>
      <c r="H25" s="4"/>
      <c r="I25" s="4"/>
      <c r="J25" s="4"/>
      <c r="K25" s="4"/>
      <c r="L25" s="4"/>
      <c r="M25" s="4"/>
      <c r="N25" s="4"/>
      <c r="O25" s="4"/>
      <c r="P25" s="4"/>
      <c r="Q25" s="4"/>
      <c r="R25" s="4"/>
      <c r="S25" s="4"/>
      <c r="T25" s="4"/>
      <c r="U25" s="4"/>
      <c r="V25" s="4"/>
      <c r="W25" s="4"/>
      <c r="X25" s="4"/>
      <c r="Y25" s="4"/>
      <c r="Z25" s="4"/>
    </row>
    <row r="26" ht="18.0" customHeight="1">
      <c r="A26" s="8" t="s">
        <v>71</v>
      </c>
      <c r="B26" s="9">
        <v>2.7</v>
      </c>
      <c r="C26" s="9">
        <v>6.2</v>
      </c>
      <c r="D26" s="9">
        <v>11.0</v>
      </c>
      <c r="E26" s="15" t="s">
        <v>72</v>
      </c>
      <c r="F26" s="8" t="s">
        <v>73</v>
      </c>
      <c r="G26" s="4"/>
      <c r="H26" s="4"/>
      <c r="I26" s="4"/>
      <c r="J26" s="4"/>
      <c r="K26" s="4"/>
      <c r="L26" s="4"/>
      <c r="M26" s="4"/>
      <c r="N26" s="4"/>
      <c r="O26" s="4"/>
      <c r="P26" s="4"/>
      <c r="Q26" s="4"/>
      <c r="R26" s="4"/>
      <c r="S26" s="4"/>
      <c r="T26" s="4"/>
      <c r="U26" s="4"/>
      <c r="V26" s="4"/>
      <c r="W26" s="4"/>
      <c r="X26" s="4"/>
      <c r="Y26" s="4"/>
      <c r="Z26" s="4"/>
    </row>
    <row r="27" ht="18.0" customHeight="1">
      <c r="A27" s="12" t="s">
        <v>74</v>
      </c>
      <c r="B27" s="13">
        <v>99.0</v>
      </c>
      <c r="C27" s="13">
        <v>146.0</v>
      </c>
      <c r="D27" s="13">
        <v>200.0</v>
      </c>
      <c r="E27" s="16" t="s">
        <v>75</v>
      </c>
      <c r="F27" s="8" t="s">
        <v>76</v>
      </c>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21.75" customHeight="1">
      <c r="A30" s="6" t="s">
        <v>77</v>
      </c>
      <c r="B30" s="2"/>
      <c r="C30" s="2"/>
      <c r="D30" s="2"/>
      <c r="E30" s="2"/>
      <c r="F30" s="2"/>
      <c r="G30" s="2"/>
      <c r="H30" s="3"/>
      <c r="I30" s="4"/>
      <c r="J30" s="4"/>
      <c r="K30" s="4"/>
      <c r="L30" s="4"/>
      <c r="M30" s="4"/>
      <c r="N30" s="4"/>
      <c r="O30" s="4"/>
      <c r="P30" s="4"/>
      <c r="Q30" s="4"/>
      <c r="R30" s="4"/>
      <c r="S30" s="4"/>
      <c r="T30" s="4"/>
      <c r="U30" s="4"/>
      <c r="V30" s="4"/>
      <c r="W30" s="4"/>
      <c r="X30" s="4"/>
      <c r="Y30" s="4"/>
      <c r="Z30" s="4"/>
    </row>
    <row r="31" ht="15.75" customHeight="1">
      <c r="A31" s="7" t="s">
        <v>78</v>
      </c>
      <c r="B31" s="7" t="s">
        <v>79</v>
      </c>
      <c r="C31" s="7" t="s">
        <v>80</v>
      </c>
      <c r="D31" s="7" t="s">
        <v>81</v>
      </c>
      <c r="E31" s="7" t="s">
        <v>74</v>
      </c>
      <c r="F31" s="7" t="s">
        <v>82</v>
      </c>
      <c r="G31" s="7" t="s">
        <v>83</v>
      </c>
      <c r="H31" s="7" t="s">
        <v>84</v>
      </c>
      <c r="I31" s="4"/>
      <c r="J31" s="4"/>
      <c r="K31" s="4"/>
      <c r="L31" s="4"/>
      <c r="M31" s="4"/>
      <c r="N31" s="4"/>
      <c r="O31" s="4"/>
      <c r="P31" s="4"/>
      <c r="Q31" s="4"/>
      <c r="R31" s="4"/>
      <c r="S31" s="4"/>
      <c r="T31" s="4"/>
      <c r="U31" s="4"/>
      <c r="V31" s="4"/>
      <c r="W31" s="4"/>
      <c r="X31" s="4"/>
      <c r="Y31" s="4"/>
      <c r="Z31" s="4"/>
    </row>
    <row r="32" ht="15.75" customHeight="1">
      <c r="A32" s="8" t="s">
        <v>85</v>
      </c>
      <c r="B32" s="9">
        <v>2.1</v>
      </c>
      <c r="C32" s="9">
        <v>0.4</v>
      </c>
      <c r="D32" s="9">
        <v>0.0</v>
      </c>
      <c r="E32" s="9">
        <v>2.5</v>
      </c>
      <c r="F32" s="15" t="s">
        <v>86</v>
      </c>
      <c r="G32" s="15">
        <v>1.0</v>
      </c>
      <c r="H32" s="15">
        <v>12.0</v>
      </c>
      <c r="I32" s="4"/>
      <c r="J32" s="4"/>
      <c r="K32" s="4"/>
      <c r="L32" s="4"/>
      <c r="M32" s="4"/>
      <c r="N32" s="4"/>
      <c r="O32" s="4"/>
      <c r="P32" s="4"/>
      <c r="Q32" s="4"/>
      <c r="R32" s="4"/>
      <c r="S32" s="4"/>
      <c r="T32" s="4"/>
      <c r="U32" s="4"/>
      <c r="V32" s="4"/>
      <c r="W32" s="4"/>
      <c r="X32" s="4"/>
      <c r="Y32" s="4"/>
      <c r="Z32" s="4"/>
    </row>
    <row r="33" ht="15.75" customHeight="1">
      <c r="A33" s="8" t="s">
        <v>87</v>
      </c>
      <c r="B33" s="9">
        <v>3.8</v>
      </c>
      <c r="C33" s="9">
        <v>1.2</v>
      </c>
      <c r="D33" s="9">
        <v>0.0</v>
      </c>
      <c r="E33" s="9">
        <v>5.0</v>
      </c>
      <c r="F33" s="15" t="s">
        <v>88</v>
      </c>
      <c r="G33" s="15">
        <v>1.0</v>
      </c>
      <c r="H33" s="15">
        <v>28.0</v>
      </c>
      <c r="I33" s="4"/>
      <c r="J33" s="4"/>
      <c r="K33" s="4"/>
      <c r="L33" s="4"/>
      <c r="M33" s="4"/>
      <c r="N33" s="4"/>
      <c r="O33" s="4"/>
      <c r="P33" s="4"/>
      <c r="Q33" s="4"/>
      <c r="R33" s="4"/>
      <c r="S33" s="4"/>
      <c r="T33" s="4"/>
      <c r="U33" s="4"/>
      <c r="V33" s="4"/>
      <c r="W33" s="4"/>
      <c r="X33" s="4"/>
      <c r="Y33" s="4"/>
      <c r="Z33" s="4"/>
    </row>
    <row r="34" ht="15.75" customHeight="1">
      <c r="A34" s="8" t="s">
        <v>89</v>
      </c>
      <c r="B34" s="9">
        <v>9.0</v>
      </c>
      <c r="C34" s="9">
        <v>3.0</v>
      </c>
      <c r="D34" s="9">
        <v>0.5</v>
      </c>
      <c r="E34" s="9">
        <v>12.5</v>
      </c>
      <c r="F34" s="15" t="s">
        <v>90</v>
      </c>
      <c r="G34" s="15">
        <v>2.0</v>
      </c>
      <c r="H34" s="15">
        <v>65.0</v>
      </c>
      <c r="I34" s="4"/>
      <c r="J34" s="4"/>
      <c r="K34" s="4"/>
      <c r="L34" s="4"/>
      <c r="M34" s="4"/>
      <c r="N34" s="4"/>
      <c r="O34" s="4"/>
      <c r="P34" s="4"/>
      <c r="Q34" s="4"/>
      <c r="R34" s="4"/>
      <c r="S34" s="4"/>
      <c r="T34" s="4"/>
      <c r="U34" s="4"/>
      <c r="V34" s="4"/>
      <c r="W34" s="4"/>
      <c r="X34" s="4"/>
      <c r="Y34" s="4"/>
      <c r="Z34" s="4"/>
    </row>
    <row r="35" ht="15.75" customHeight="1">
      <c r="A35" s="8" t="s">
        <v>91</v>
      </c>
      <c r="B35" s="9">
        <v>28.0</v>
      </c>
      <c r="C35" s="9">
        <v>12.0</v>
      </c>
      <c r="D35" s="9">
        <v>3.0</v>
      </c>
      <c r="E35" s="9">
        <v>43.0</v>
      </c>
      <c r="F35" s="15" t="s">
        <v>92</v>
      </c>
      <c r="G35" s="15">
        <v>2.0</v>
      </c>
      <c r="H35" s="15">
        <v>142.0</v>
      </c>
      <c r="I35" s="4"/>
      <c r="J35" s="4"/>
      <c r="K35" s="4"/>
      <c r="L35" s="4"/>
      <c r="M35" s="4"/>
      <c r="N35" s="4"/>
      <c r="O35" s="4"/>
      <c r="P35" s="4"/>
      <c r="Q35" s="4"/>
      <c r="R35" s="4"/>
      <c r="S35" s="4"/>
      <c r="T35" s="4"/>
      <c r="U35" s="4"/>
      <c r="V35" s="4"/>
      <c r="W35" s="4"/>
      <c r="X35" s="4"/>
      <c r="Y35" s="4"/>
      <c r="Z35" s="4"/>
    </row>
    <row r="36" ht="15.75" customHeight="1">
      <c r="A36" s="8" t="s">
        <v>93</v>
      </c>
      <c r="B36" s="9">
        <v>58.0</v>
      </c>
      <c r="C36" s="9">
        <v>31.0</v>
      </c>
      <c r="D36" s="9">
        <v>10.0</v>
      </c>
      <c r="E36" s="9">
        <v>99.0</v>
      </c>
      <c r="F36" s="15" t="s">
        <v>94</v>
      </c>
      <c r="G36" s="15">
        <v>4.0</v>
      </c>
      <c r="H36" s="15">
        <v>287.0</v>
      </c>
      <c r="I36" s="4"/>
      <c r="J36" s="4"/>
      <c r="K36" s="4"/>
      <c r="L36" s="4"/>
      <c r="M36" s="4"/>
      <c r="N36" s="4"/>
      <c r="O36" s="4"/>
      <c r="P36" s="4"/>
      <c r="Q36" s="4"/>
      <c r="R36" s="4"/>
      <c r="S36" s="4"/>
      <c r="T36" s="4"/>
      <c r="U36" s="4"/>
      <c r="V36" s="4"/>
      <c r="W36" s="4"/>
      <c r="X36" s="4"/>
      <c r="Y36" s="4"/>
      <c r="Z36" s="4"/>
    </row>
    <row r="37" ht="15.75" customHeight="1">
      <c r="A37" s="8" t="s">
        <v>95</v>
      </c>
      <c r="B37" s="9">
        <v>82.0</v>
      </c>
      <c r="C37" s="9">
        <v>46.0</v>
      </c>
      <c r="D37" s="9">
        <v>18.0</v>
      </c>
      <c r="E37" s="9">
        <v>146.0</v>
      </c>
      <c r="F37" s="15" t="s">
        <v>96</v>
      </c>
      <c r="G37" s="15">
        <v>6.0</v>
      </c>
      <c r="H37" s="15">
        <v>412.0</v>
      </c>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17" t="s">
        <v>97</v>
      </c>
      <c r="B40" s="2"/>
      <c r="C40" s="2"/>
      <c r="D40" s="2"/>
      <c r="E40" s="2"/>
      <c r="F40" s="2"/>
      <c r="G40" s="2"/>
      <c r="H40" s="3"/>
      <c r="I40" s="4"/>
      <c r="J40" s="4"/>
      <c r="K40" s="4"/>
      <c r="L40" s="4"/>
      <c r="M40" s="4"/>
      <c r="N40" s="4"/>
      <c r="O40" s="4"/>
      <c r="P40" s="4"/>
      <c r="Q40" s="4"/>
      <c r="R40" s="4"/>
      <c r="S40" s="4"/>
      <c r="T40" s="4"/>
      <c r="U40" s="4"/>
      <c r="V40" s="4"/>
      <c r="W40" s="4"/>
      <c r="X40" s="4"/>
      <c r="Y40" s="4"/>
      <c r="Z40" s="4"/>
    </row>
    <row r="41" ht="15.75" customHeight="1">
      <c r="A41" s="7" t="s">
        <v>98</v>
      </c>
      <c r="B41" s="7" t="s">
        <v>79</v>
      </c>
      <c r="C41" s="7" t="s">
        <v>12</v>
      </c>
      <c r="D41" s="7" t="s">
        <v>14</v>
      </c>
      <c r="E41" s="7" t="s">
        <v>99</v>
      </c>
      <c r="F41" s="7" t="s">
        <v>100</v>
      </c>
      <c r="G41" s="7" t="s">
        <v>101</v>
      </c>
      <c r="H41" s="7" t="s">
        <v>102</v>
      </c>
      <c r="I41" s="4"/>
      <c r="J41" s="4"/>
      <c r="K41" s="4"/>
      <c r="L41" s="4"/>
      <c r="M41" s="4"/>
      <c r="N41" s="4"/>
      <c r="O41" s="4"/>
      <c r="P41" s="4"/>
      <c r="Q41" s="4"/>
      <c r="R41" s="4"/>
      <c r="S41" s="4"/>
      <c r="T41" s="4"/>
      <c r="U41" s="4"/>
      <c r="V41" s="4"/>
      <c r="W41" s="4"/>
      <c r="X41" s="4"/>
      <c r="Y41" s="4"/>
      <c r="Z41" s="4"/>
    </row>
    <row r="42" ht="15.0" customHeight="1">
      <c r="A42" s="8" t="s">
        <v>103</v>
      </c>
      <c r="B42" s="9">
        <v>2.4</v>
      </c>
      <c r="C42" s="9">
        <v>0.6</v>
      </c>
      <c r="D42" s="9">
        <v>0.1</v>
      </c>
      <c r="E42" s="9">
        <v>3.1</v>
      </c>
      <c r="F42" s="9">
        <v>1.5</v>
      </c>
      <c r="G42" s="10">
        <v>0.484</v>
      </c>
      <c r="H42" s="9">
        <v>0.3</v>
      </c>
      <c r="I42" s="4"/>
      <c r="J42" s="4"/>
      <c r="K42" s="4"/>
      <c r="L42" s="4"/>
      <c r="M42" s="4"/>
      <c r="N42" s="4"/>
      <c r="O42" s="4"/>
      <c r="P42" s="4"/>
      <c r="Q42" s="4"/>
      <c r="R42" s="4"/>
      <c r="S42" s="4"/>
      <c r="T42" s="4"/>
      <c r="U42" s="4"/>
      <c r="V42" s="4"/>
      <c r="W42" s="4"/>
      <c r="X42" s="4"/>
      <c r="Y42" s="4"/>
      <c r="Z42" s="4"/>
    </row>
    <row r="43" ht="15.0" customHeight="1">
      <c r="A43" s="8" t="s">
        <v>104</v>
      </c>
      <c r="B43" s="9">
        <v>2.7</v>
      </c>
      <c r="C43" s="9">
        <v>1.3</v>
      </c>
      <c r="D43" s="9">
        <v>0.1</v>
      </c>
      <c r="E43" s="9">
        <v>4.1</v>
      </c>
      <c r="F43" s="9">
        <v>2.0</v>
      </c>
      <c r="G43" s="10">
        <v>0.488</v>
      </c>
      <c r="H43" s="9">
        <v>0.2</v>
      </c>
      <c r="I43" s="4"/>
      <c r="J43" s="4"/>
      <c r="K43" s="4"/>
      <c r="L43" s="4"/>
      <c r="M43" s="4"/>
      <c r="N43" s="4"/>
      <c r="O43" s="4"/>
      <c r="P43" s="4"/>
      <c r="Q43" s="4"/>
      <c r="R43" s="4"/>
      <c r="S43" s="4"/>
      <c r="T43" s="4"/>
      <c r="U43" s="4"/>
      <c r="V43" s="4"/>
      <c r="W43" s="4"/>
      <c r="X43" s="4"/>
      <c r="Y43" s="4"/>
      <c r="Z43" s="4"/>
    </row>
    <row r="44" ht="15.0" customHeight="1">
      <c r="A44" s="8" t="s">
        <v>105</v>
      </c>
      <c r="B44" s="9">
        <v>2.5</v>
      </c>
      <c r="C44" s="9">
        <v>1.2</v>
      </c>
      <c r="D44" s="9">
        <v>0.1</v>
      </c>
      <c r="E44" s="9">
        <v>3.8</v>
      </c>
      <c r="F44" s="9">
        <v>1.8</v>
      </c>
      <c r="G44" s="10">
        <v>0.474</v>
      </c>
      <c r="H44" s="9">
        <v>0.3</v>
      </c>
      <c r="I44" s="4"/>
      <c r="J44" s="4"/>
      <c r="K44" s="4"/>
      <c r="L44" s="4"/>
      <c r="M44" s="4"/>
      <c r="N44" s="4"/>
      <c r="O44" s="4"/>
      <c r="P44" s="4"/>
      <c r="Q44" s="4"/>
      <c r="R44" s="4"/>
      <c r="S44" s="4"/>
      <c r="T44" s="4"/>
      <c r="U44" s="4"/>
      <c r="V44" s="4"/>
      <c r="W44" s="4"/>
      <c r="X44" s="4"/>
      <c r="Y44" s="4"/>
      <c r="Z44" s="4"/>
    </row>
    <row r="45" ht="15.0" customHeight="1">
      <c r="A45" s="8" t="s">
        <v>106</v>
      </c>
      <c r="B45" s="9">
        <v>3.2</v>
      </c>
      <c r="C45" s="9">
        <v>1.2</v>
      </c>
      <c r="D45" s="9">
        <v>0.3</v>
      </c>
      <c r="E45" s="9">
        <v>4.7</v>
      </c>
      <c r="F45" s="9">
        <v>2.3</v>
      </c>
      <c r="G45" s="10">
        <v>0.489</v>
      </c>
      <c r="H45" s="9">
        <v>0.2</v>
      </c>
      <c r="I45" s="4"/>
      <c r="J45" s="4"/>
      <c r="K45" s="4"/>
      <c r="L45" s="4"/>
      <c r="M45" s="4"/>
      <c r="N45" s="4"/>
      <c r="O45" s="4"/>
      <c r="P45" s="4"/>
      <c r="Q45" s="4"/>
      <c r="R45" s="4"/>
      <c r="S45" s="4"/>
      <c r="T45" s="4"/>
      <c r="U45" s="4"/>
      <c r="V45" s="4"/>
      <c r="W45" s="4"/>
      <c r="X45" s="4"/>
      <c r="Y45" s="4"/>
      <c r="Z45" s="4"/>
    </row>
    <row r="46" ht="15.0" customHeight="1">
      <c r="A46" s="8" t="s">
        <v>107</v>
      </c>
      <c r="B46" s="9">
        <v>3.8</v>
      </c>
      <c r="C46" s="9">
        <v>1.7</v>
      </c>
      <c r="D46" s="9">
        <v>0.2</v>
      </c>
      <c r="E46" s="9">
        <v>5.7</v>
      </c>
      <c r="F46" s="9">
        <v>2.7</v>
      </c>
      <c r="G46" s="10">
        <v>0.474</v>
      </c>
      <c r="H46" s="9">
        <v>0.6</v>
      </c>
      <c r="I46" s="4"/>
      <c r="J46" s="4"/>
      <c r="K46" s="4"/>
      <c r="L46" s="4"/>
      <c r="M46" s="4"/>
      <c r="N46" s="4"/>
      <c r="O46" s="4"/>
      <c r="P46" s="4"/>
      <c r="Q46" s="4"/>
      <c r="R46" s="4"/>
      <c r="S46" s="4"/>
      <c r="T46" s="4"/>
      <c r="U46" s="4"/>
      <c r="V46" s="4"/>
      <c r="W46" s="4"/>
      <c r="X46" s="4"/>
      <c r="Y46" s="4"/>
      <c r="Z46" s="4"/>
    </row>
    <row r="47" ht="15.0" customHeight="1">
      <c r="A47" s="8" t="s">
        <v>108</v>
      </c>
      <c r="B47" s="9">
        <v>3.8</v>
      </c>
      <c r="C47" s="9">
        <v>1.5</v>
      </c>
      <c r="D47" s="9">
        <v>0.2</v>
      </c>
      <c r="E47" s="9">
        <v>5.5</v>
      </c>
      <c r="F47" s="9">
        <v>2.7</v>
      </c>
      <c r="G47" s="10">
        <v>0.491</v>
      </c>
      <c r="H47" s="9">
        <v>0.5</v>
      </c>
      <c r="I47" s="4"/>
      <c r="J47" s="4"/>
      <c r="K47" s="4"/>
      <c r="L47" s="4"/>
      <c r="M47" s="4"/>
      <c r="N47" s="4"/>
      <c r="O47" s="4"/>
      <c r="P47" s="4"/>
      <c r="Q47" s="4"/>
      <c r="R47" s="4"/>
      <c r="S47" s="4"/>
      <c r="T47" s="4"/>
      <c r="U47" s="4"/>
      <c r="V47" s="4"/>
      <c r="W47" s="4"/>
      <c r="X47" s="4"/>
      <c r="Y47" s="4"/>
      <c r="Z47" s="4"/>
    </row>
    <row r="48" ht="15.0" customHeight="1">
      <c r="A48" s="8" t="s">
        <v>109</v>
      </c>
      <c r="B48" s="9">
        <v>4.7</v>
      </c>
      <c r="C48" s="9">
        <v>2.1</v>
      </c>
      <c r="D48" s="9">
        <v>0.4</v>
      </c>
      <c r="E48" s="9">
        <v>7.2</v>
      </c>
      <c r="F48" s="9">
        <v>3.6</v>
      </c>
      <c r="G48" s="10">
        <v>0.5</v>
      </c>
      <c r="H48" s="9">
        <v>0.5</v>
      </c>
      <c r="I48" s="4"/>
      <c r="J48" s="4"/>
      <c r="K48" s="4"/>
      <c r="L48" s="4"/>
      <c r="M48" s="4"/>
      <c r="N48" s="4"/>
      <c r="O48" s="4"/>
      <c r="P48" s="4"/>
      <c r="Q48" s="4"/>
      <c r="R48" s="4"/>
      <c r="S48" s="4"/>
      <c r="T48" s="4"/>
      <c r="U48" s="4"/>
      <c r="V48" s="4"/>
      <c r="W48" s="4"/>
      <c r="X48" s="4"/>
      <c r="Y48" s="4"/>
      <c r="Z48" s="4"/>
    </row>
    <row r="49" ht="15.0" customHeight="1">
      <c r="A49" s="8" t="s">
        <v>110</v>
      </c>
      <c r="B49" s="9">
        <v>5.0</v>
      </c>
      <c r="C49" s="9">
        <v>2.5</v>
      </c>
      <c r="D49" s="9">
        <v>0.5</v>
      </c>
      <c r="E49" s="9">
        <v>8.0</v>
      </c>
      <c r="F49" s="9">
        <v>4.0</v>
      </c>
      <c r="G49" s="10">
        <v>0.5</v>
      </c>
      <c r="H49" s="9">
        <v>0.7</v>
      </c>
      <c r="I49" s="4"/>
      <c r="J49" s="4"/>
      <c r="K49" s="4"/>
      <c r="L49" s="4"/>
      <c r="M49" s="4"/>
      <c r="N49" s="4"/>
      <c r="O49" s="4"/>
      <c r="P49" s="4"/>
      <c r="Q49" s="4"/>
      <c r="R49" s="4"/>
      <c r="S49" s="4"/>
      <c r="T49" s="4"/>
      <c r="U49" s="4"/>
      <c r="V49" s="4"/>
      <c r="W49" s="4"/>
      <c r="X49" s="4"/>
      <c r="Y49" s="4"/>
      <c r="Z49" s="4"/>
    </row>
    <row r="50" ht="15.0" customHeight="1">
      <c r="A50" s="8" t="s">
        <v>111</v>
      </c>
      <c r="B50" s="9">
        <v>5.8</v>
      </c>
      <c r="C50" s="9">
        <v>2.3</v>
      </c>
      <c r="D50" s="9">
        <v>0.4</v>
      </c>
      <c r="E50" s="9">
        <v>8.5</v>
      </c>
      <c r="F50" s="9">
        <v>4.0</v>
      </c>
      <c r="G50" s="10">
        <v>0.471</v>
      </c>
      <c r="H50" s="9">
        <v>0.5</v>
      </c>
      <c r="I50" s="4"/>
      <c r="J50" s="4"/>
      <c r="K50" s="4"/>
      <c r="L50" s="4"/>
      <c r="M50" s="4"/>
      <c r="N50" s="4"/>
      <c r="O50" s="4"/>
      <c r="P50" s="4"/>
      <c r="Q50" s="4"/>
      <c r="R50" s="4"/>
      <c r="S50" s="4"/>
      <c r="T50" s="4"/>
      <c r="U50" s="4"/>
      <c r="V50" s="4"/>
      <c r="W50" s="4"/>
      <c r="X50" s="4"/>
      <c r="Y50" s="4"/>
      <c r="Z50" s="4"/>
    </row>
    <row r="51" ht="15.0" customHeight="1">
      <c r="A51" s="8" t="s">
        <v>112</v>
      </c>
      <c r="B51" s="9">
        <v>5.9</v>
      </c>
      <c r="C51" s="9">
        <v>2.7</v>
      </c>
      <c r="D51" s="9">
        <v>0.5</v>
      </c>
      <c r="E51" s="9">
        <v>9.1</v>
      </c>
      <c r="F51" s="9">
        <v>4.4</v>
      </c>
      <c r="G51" s="10">
        <v>0.484</v>
      </c>
      <c r="H51" s="9">
        <v>0.7</v>
      </c>
      <c r="I51" s="4"/>
      <c r="J51" s="4"/>
      <c r="K51" s="4"/>
      <c r="L51" s="4"/>
      <c r="M51" s="4"/>
      <c r="N51" s="4"/>
      <c r="O51" s="4"/>
      <c r="P51" s="4"/>
      <c r="Q51" s="4"/>
      <c r="R51" s="4"/>
      <c r="S51" s="4"/>
      <c r="T51" s="4"/>
      <c r="U51" s="4"/>
      <c r="V51" s="4"/>
      <c r="W51" s="4"/>
      <c r="X51" s="4"/>
      <c r="Y51" s="4"/>
      <c r="Z51" s="4"/>
    </row>
    <row r="52" ht="15.0" customHeight="1">
      <c r="A52" s="8" t="s">
        <v>113</v>
      </c>
      <c r="B52" s="9">
        <v>6.8</v>
      </c>
      <c r="C52" s="9">
        <v>3.2</v>
      </c>
      <c r="D52" s="9">
        <v>0.6</v>
      </c>
      <c r="E52" s="9">
        <v>10.6</v>
      </c>
      <c r="F52" s="9">
        <v>5.3</v>
      </c>
      <c r="G52" s="10">
        <v>0.5</v>
      </c>
      <c r="H52" s="9">
        <v>0.9</v>
      </c>
      <c r="I52" s="4"/>
      <c r="J52" s="4"/>
      <c r="K52" s="4"/>
      <c r="L52" s="4"/>
      <c r="M52" s="4"/>
      <c r="N52" s="4"/>
      <c r="O52" s="4"/>
      <c r="P52" s="4"/>
      <c r="Q52" s="4"/>
      <c r="R52" s="4"/>
      <c r="S52" s="4"/>
      <c r="T52" s="4"/>
      <c r="U52" s="4"/>
      <c r="V52" s="4"/>
      <c r="W52" s="4"/>
      <c r="X52" s="4"/>
      <c r="Y52" s="4"/>
      <c r="Z52" s="4"/>
    </row>
    <row r="53" ht="15.0" customHeight="1">
      <c r="A53" s="8" t="s">
        <v>114</v>
      </c>
      <c r="B53" s="9">
        <v>7.9</v>
      </c>
      <c r="C53" s="9">
        <v>3.7</v>
      </c>
      <c r="D53" s="9">
        <v>0.8</v>
      </c>
      <c r="E53" s="9">
        <v>12.4</v>
      </c>
      <c r="F53" s="9">
        <v>5.8</v>
      </c>
      <c r="G53" s="10">
        <v>0.468</v>
      </c>
      <c r="H53" s="9">
        <v>0.9</v>
      </c>
      <c r="I53" s="4"/>
      <c r="J53" s="4"/>
      <c r="K53" s="4"/>
      <c r="L53" s="4"/>
      <c r="M53" s="4"/>
      <c r="N53" s="4"/>
      <c r="O53" s="4"/>
      <c r="P53" s="4"/>
      <c r="Q53" s="4"/>
      <c r="R53" s="4"/>
      <c r="S53" s="4"/>
      <c r="T53" s="4"/>
      <c r="U53" s="4"/>
      <c r="V53" s="4"/>
      <c r="W53" s="4"/>
      <c r="X53" s="4"/>
      <c r="Y53" s="4"/>
      <c r="Z53" s="4"/>
    </row>
    <row r="54" ht="15.0" customHeight="1">
      <c r="A54" s="8" t="s">
        <v>115</v>
      </c>
      <c r="B54" s="9">
        <v>9.2</v>
      </c>
      <c r="C54" s="9">
        <v>4.5</v>
      </c>
      <c r="D54" s="9">
        <v>0.9</v>
      </c>
      <c r="E54" s="9">
        <v>14.6</v>
      </c>
      <c r="F54" s="9">
        <v>7.1</v>
      </c>
      <c r="G54" s="10">
        <v>0.486</v>
      </c>
      <c r="H54" s="9">
        <v>1.5</v>
      </c>
      <c r="I54" s="4"/>
      <c r="J54" s="4"/>
      <c r="K54" s="4"/>
      <c r="L54" s="4"/>
      <c r="M54" s="4"/>
      <c r="N54" s="4"/>
      <c r="O54" s="4"/>
      <c r="P54" s="4"/>
      <c r="Q54" s="4"/>
      <c r="R54" s="4"/>
      <c r="S54" s="4"/>
      <c r="T54" s="4"/>
      <c r="U54" s="4"/>
      <c r="V54" s="4"/>
      <c r="W54" s="4"/>
      <c r="X54" s="4"/>
      <c r="Y54" s="4"/>
      <c r="Z54" s="4"/>
    </row>
    <row r="55" ht="15.0" customHeight="1">
      <c r="A55" s="8" t="s">
        <v>116</v>
      </c>
      <c r="B55" s="9">
        <v>10.1</v>
      </c>
      <c r="C55" s="9">
        <v>4.8</v>
      </c>
      <c r="D55" s="9">
        <v>0.9</v>
      </c>
      <c r="E55" s="9">
        <v>15.8</v>
      </c>
      <c r="F55" s="9">
        <v>7.5</v>
      </c>
      <c r="G55" s="10">
        <v>0.475</v>
      </c>
      <c r="H55" s="9">
        <v>1.0</v>
      </c>
      <c r="I55" s="4"/>
      <c r="J55" s="4"/>
      <c r="K55" s="4"/>
      <c r="L55" s="4"/>
      <c r="M55" s="4"/>
      <c r="N55" s="4"/>
      <c r="O55" s="4"/>
      <c r="P55" s="4"/>
      <c r="Q55" s="4"/>
      <c r="R55" s="4"/>
      <c r="S55" s="4"/>
      <c r="T55" s="4"/>
      <c r="U55" s="4"/>
      <c r="V55" s="4"/>
      <c r="W55" s="4"/>
      <c r="X55" s="4"/>
      <c r="Y55" s="4"/>
      <c r="Z55" s="4"/>
    </row>
    <row r="56" ht="15.0" customHeight="1">
      <c r="A56" s="8" t="s">
        <v>117</v>
      </c>
      <c r="B56" s="9">
        <v>10.7</v>
      </c>
      <c r="C56" s="9">
        <v>6.0</v>
      </c>
      <c r="D56" s="9">
        <v>1.4</v>
      </c>
      <c r="E56" s="9">
        <v>18.1</v>
      </c>
      <c r="F56" s="9">
        <v>8.6</v>
      </c>
      <c r="G56" s="10">
        <v>0.475</v>
      </c>
      <c r="H56" s="9">
        <v>1.6</v>
      </c>
      <c r="I56" s="4"/>
      <c r="J56" s="4"/>
      <c r="K56" s="4"/>
      <c r="L56" s="4"/>
      <c r="M56" s="4"/>
      <c r="N56" s="4"/>
      <c r="O56" s="4"/>
      <c r="P56" s="4"/>
      <c r="Q56" s="4"/>
      <c r="R56" s="4"/>
      <c r="S56" s="4"/>
      <c r="T56" s="4"/>
      <c r="U56" s="4"/>
      <c r="V56" s="4"/>
      <c r="W56" s="4"/>
      <c r="X56" s="4"/>
      <c r="Y56" s="4"/>
      <c r="Z56" s="4"/>
    </row>
    <row r="57" ht="15.0" customHeight="1">
      <c r="A57" s="8" t="s">
        <v>118</v>
      </c>
      <c r="B57" s="9">
        <v>12.2</v>
      </c>
      <c r="C57" s="9">
        <v>6.8</v>
      </c>
      <c r="D57" s="9">
        <v>1.5</v>
      </c>
      <c r="E57" s="9">
        <v>20.5</v>
      </c>
      <c r="F57" s="9">
        <v>9.6</v>
      </c>
      <c r="G57" s="10">
        <v>0.468</v>
      </c>
      <c r="H57" s="9">
        <v>1.3</v>
      </c>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17" t="s">
        <v>119</v>
      </c>
      <c r="B186" s="2"/>
      <c r="C186" s="2"/>
      <c r="D186" s="2"/>
      <c r="E186" s="2"/>
      <c r="F186" s="2"/>
      <c r="G186" s="2"/>
      <c r="H186" s="3"/>
      <c r="I186" s="4"/>
      <c r="J186" s="4"/>
      <c r="K186" s="4"/>
      <c r="L186" s="4"/>
      <c r="M186" s="4"/>
      <c r="N186" s="4"/>
      <c r="O186" s="4"/>
      <c r="P186" s="4"/>
      <c r="Q186" s="4"/>
      <c r="R186" s="4"/>
      <c r="S186" s="4"/>
      <c r="T186" s="4"/>
      <c r="U186" s="4"/>
      <c r="V186" s="4"/>
      <c r="W186" s="4"/>
      <c r="X186" s="4"/>
      <c r="Y186" s="4"/>
      <c r="Z186" s="4"/>
    </row>
    <row r="187" ht="30.0" customHeight="1">
      <c r="A187" s="18" t="s">
        <v>120</v>
      </c>
      <c r="B187" s="19" t="s">
        <v>121</v>
      </c>
      <c r="C187" s="20"/>
      <c r="D187" s="20"/>
      <c r="E187" s="20"/>
      <c r="F187" s="20"/>
      <c r="G187" s="20"/>
      <c r="H187" s="21"/>
      <c r="I187" s="4"/>
      <c r="J187" s="4"/>
      <c r="K187" s="4"/>
      <c r="L187" s="4"/>
      <c r="M187" s="4"/>
      <c r="N187" s="4"/>
      <c r="O187" s="4"/>
      <c r="P187" s="4"/>
      <c r="Q187" s="4"/>
      <c r="R187" s="4"/>
      <c r="S187" s="4"/>
      <c r="T187" s="4"/>
      <c r="U187" s="4"/>
      <c r="V187" s="4"/>
      <c r="W187" s="4"/>
      <c r="X187" s="4"/>
      <c r="Y187" s="4"/>
      <c r="Z187" s="4"/>
    </row>
    <row r="188" ht="30.0" customHeight="1">
      <c r="A188" s="18" t="s">
        <v>122</v>
      </c>
      <c r="B188" s="19" t="s">
        <v>123</v>
      </c>
      <c r="C188" s="20"/>
      <c r="D188" s="20"/>
      <c r="E188" s="20"/>
      <c r="F188" s="20"/>
      <c r="G188" s="20"/>
      <c r="H188" s="21"/>
      <c r="I188" s="4"/>
      <c r="J188" s="4"/>
      <c r="K188" s="4"/>
      <c r="L188" s="4"/>
      <c r="M188" s="4"/>
      <c r="N188" s="4"/>
      <c r="O188" s="4"/>
      <c r="P188" s="4"/>
      <c r="Q188" s="4"/>
      <c r="R188" s="4"/>
      <c r="S188" s="4"/>
      <c r="T188" s="4"/>
      <c r="U188" s="4"/>
      <c r="V188" s="4"/>
      <c r="W188" s="4"/>
      <c r="X188" s="4"/>
      <c r="Y188" s="4"/>
      <c r="Z188" s="4"/>
    </row>
    <row r="189" ht="30.0" customHeight="1">
      <c r="A189" s="18" t="s">
        <v>124</v>
      </c>
      <c r="B189" s="19" t="s">
        <v>125</v>
      </c>
      <c r="C189" s="20"/>
      <c r="D189" s="20"/>
      <c r="E189" s="20"/>
      <c r="F189" s="20"/>
      <c r="G189" s="20"/>
      <c r="H189" s="21"/>
      <c r="I189" s="4"/>
      <c r="J189" s="4"/>
      <c r="K189" s="4"/>
      <c r="L189" s="4"/>
      <c r="M189" s="4"/>
      <c r="N189" s="4"/>
      <c r="O189" s="4"/>
      <c r="P189" s="4"/>
      <c r="Q189" s="4"/>
      <c r="R189" s="4"/>
      <c r="S189" s="4"/>
      <c r="T189" s="4"/>
      <c r="U189" s="4"/>
      <c r="V189" s="4"/>
      <c r="W189" s="4"/>
      <c r="X189" s="4"/>
      <c r="Y189" s="4"/>
      <c r="Z189" s="4"/>
    </row>
    <row r="190" ht="30.0" customHeight="1">
      <c r="A190" s="18" t="s">
        <v>126</v>
      </c>
      <c r="B190" s="19" t="s">
        <v>127</v>
      </c>
      <c r="C190" s="20"/>
      <c r="D190" s="20"/>
      <c r="E190" s="20"/>
      <c r="F190" s="20"/>
      <c r="G190" s="20"/>
      <c r="H190" s="21"/>
      <c r="I190" s="4"/>
      <c r="J190" s="4"/>
      <c r="K190" s="4"/>
      <c r="L190" s="4"/>
      <c r="M190" s="4"/>
      <c r="N190" s="4"/>
      <c r="O190" s="4"/>
      <c r="P190" s="4"/>
      <c r="Q190" s="4"/>
      <c r="R190" s="4"/>
      <c r="S190" s="4"/>
      <c r="T190" s="4"/>
      <c r="U190" s="4"/>
      <c r="V190" s="4"/>
      <c r="W190" s="4"/>
      <c r="X190" s="4"/>
      <c r="Y190" s="4"/>
      <c r="Z190" s="4"/>
    </row>
    <row r="191" ht="30.0" customHeight="1">
      <c r="A191" s="18" t="s">
        <v>128</v>
      </c>
      <c r="B191" s="19" t="s">
        <v>129</v>
      </c>
      <c r="C191" s="20"/>
      <c r="D191" s="20"/>
      <c r="E191" s="20"/>
      <c r="F191" s="20"/>
      <c r="G191" s="20"/>
      <c r="H191" s="21"/>
      <c r="I191" s="4"/>
      <c r="J191" s="4"/>
      <c r="K191" s="4"/>
      <c r="L191" s="4"/>
      <c r="M191" s="4"/>
      <c r="N191" s="4"/>
      <c r="O191" s="4"/>
      <c r="P191" s="4"/>
      <c r="Q191" s="4"/>
      <c r="R191" s="4"/>
      <c r="S191" s="4"/>
      <c r="T191" s="4"/>
      <c r="U191" s="4"/>
      <c r="V191" s="4"/>
      <c r="W191" s="4"/>
      <c r="X191" s="4"/>
      <c r="Y191" s="4"/>
      <c r="Z191" s="4"/>
    </row>
    <row r="192" ht="30.0" customHeight="1">
      <c r="A192" s="18" t="s">
        <v>130</v>
      </c>
      <c r="B192" s="19" t="s">
        <v>131</v>
      </c>
      <c r="C192" s="20"/>
      <c r="D192" s="20"/>
      <c r="E192" s="20"/>
      <c r="F192" s="20"/>
      <c r="G192" s="20"/>
      <c r="H192" s="21"/>
      <c r="I192" s="4"/>
      <c r="J192" s="4"/>
      <c r="K192" s="4"/>
      <c r="L192" s="4"/>
      <c r="M192" s="4"/>
      <c r="N192" s="4"/>
      <c r="O192" s="4"/>
      <c r="P192" s="4"/>
      <c r="Q192" s="4"/>
      <c r="R192" s="4"/>
      <c r="S192" s="4"/>
      <c r="T192" s="4"/>
      <c r="U192" s="4"/>
      <c r="V192" s="4"/>
      <c r="W192" s="4"/>
      <c r="X192" s="4"/>
      <c r="Y192" s="4"/>
      <c r="Z192" s="4"/>
    </row>
    <row r="193" ht="45.0" customHeight="1">
      <c r="A193" s="18" t="s">
        <v>132</v>
      </c>
      <c r="B193" s="22" t="s">
        <v>133</v>
      </c>
      <c r="C193" s="20"/>
      <c r="D193" s="20"/>
      <c r="E193" s="20"/>
      <c r="F193" s="20"/>
      <c r="G193" s="20"/>
      <c r="H193" s="21"/>
      <c r="I193" s="4"/>
      <c r="J193" s="4"/>
      <c r="K193" s="4"/>
      <c r="L193" s="4"/>
      <c r="M193" s="4"/>
      <c r="N193" s="4"/>
      <c r="O193" s="4"/>
      <c r="P193" s="4"/>
      <c r="Q193" s="4"/>
      <c r="R193" s="4"/>
      <c r="S193" s="4"/>
      <c r="T193" s="4"/>
      <c r="U193" s="4"/>
      <c r="V193" s="4"/>
      <c r="W193" s="4"/>
      <c r="X193" s="4"/>
      <c r="Y193" s="4"/>
      <c r="Z193" s="4"/>
    </row>
    <row r="194" ht="30.0" customHeight="1">
      <c r="A194" s="18" t="s">
        <v>134</v>
      </c>
      <c r="B194" s="19" t="s">
        <v>135</v>
      </c>
      <c r="C194" s="20"/>
      <c r="D194" s="20"/>
      <c r="E194" s="20"/>
      <c r="F194" s="20"/>
      <c r="G194" s="20"/>
      <c r="H194" s="21"/>
      <c r="I194" s="4"/>
      <c r="J194" s="4"/>
      <c r="K194" s="4"/>
      <c r="L194" s="4"/>
      <c r="M194" s="4"/>
      <c r="N194" s="4"/>
      <c r="O194" s="4"/>
      <c r="P194" s="4"/>
      <c r="Q194" s="4"/>
      <c r="R194" s="4"/>
      <c r="S194" s="4"/>
      <c r="T194" s="4"/>
      <c r="U194" s="4"/>
      <c r="V194" s="4"/>
      <c r="W194" s="4"/>
      <c r="X194" s="4"/>
      <c r="Y194" s="4"/>
      <c r="Z194" s="4"/>
    </row>
    <row r="195" ht="30.0" customHeight="1">
      <c r="A195" s="18" t="s">
        <v>136</v>
      </c>
      <c r="B195" s="19" t="s">
        <v>137</v>
      </c>
      <c r="C195" s="20"/>
      <c r="D195" s="20"/>
      <c r="E195" s="20"/>
      <c r="F195" s="20"/>
      <c r="G195" s="20"/>
      <c r="H195" s="21"/>
      <c r="I195" s="4"/>
      <c r="J195" s="4"/>
      <c r="K195" s="4"/>
      <c r="L195" s="4"/>
      <c r="M195" s="4"/>
      <c r="N195" s="4"/>
      <c r="O195" s="4"/>
      <c r="P195" s="4"/>
      <c r="Q195" s="4"/>
      <c r="R195" s="4"/>
      <c r="S195" s="4"/>
      <c r="T195" s="4"/>
      <c r="U195" s="4"/>
      <c r="V195" s="4"/>
      <c r="W195" s="4"/>
      <c r="X195" s="4"/>
      <c r="Y195" s="4"/>
      <c r="Z195" s="4"/>
    </row>
    <row r="196" ht="30.0" customHeight="1">
      <c r="A196" s="18" t="s">
        <v>138</v>
      </c>
      <c r="B196" s="19" t="s">
        <v>139</v>
      </c>
      <c r="C196" s="20"/>
      <c r="D196" s="20"/>
      <c r="E196" s="20"/>
      <c r="F196" s="20"/>
      <c r="G196" s="20"/>
      <c r="H196" s="21"/>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8">
    <mergeCell ref="A1:H1"/>
    <mergeCell ref="A2:H2"/>
    <mergeCell ref="A4:H4"/>
    <mergeCell ref="A12:H12"/>
    <mergeCell ref="A21:H21"/>
    <mergeCell ref="A30:H30"/>
    <mergeCell ref="A40:H40"/>
    <mergeCell ref="B193:H193"/>
    <mergeCell ref="B194:H194"/>
    <mergeCell ref="B195:H195"/>
    <mergeCell ref="B196:H196"/>
    <mergeCell ref="A186:H186"/>
    <mergeCell ref="B187:H187"/>
    <mergeCell ref="B188:H188"/>
    <mergeCell ref="B189:H189"/>
    <mergeCell ref="B190:H190"/>
    <mergeCell ref="B191:H191"/>
    <mergeCell ref="B192:H19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4" width="13.0"/>
    <col customWidth="1" min="5" max="6" width="10.0"/>
    <col customWidth="1" min="7" max="7" width="12.0"/>
    <col customWidth="1" min="8" max="26" width="8.71"/>
  </cols>
  <sheetData>
    <row r="1" ht="27.75" customHeight="1">
      <c r="A1" s="23" t="s">
        <v>140</v>
      </c>
      <c r="B1" s="2"/>
      <c r="C1" s="2"/>
      <c r="D1" s="2"/>
      <c r="E1" s="2"/>
      <c r="F1" s="2"/>
      <c r="G1" s="3"/>
    </row>
    <row r="2">
      <c r="A2" s="24" t="s">
        <v>141</v>
      </c>
      <c r="B2" s="24" t="s">
        <v>4</v>
      </c>
      <c r="C2" s="24" t="s">
        <v>5</v>
      </c>
      <c r="D2" s="24" t="s">
        <v>6</v>
      </c>
      <c r="E2" s="24" t="s">
        <v>60</v>
      </c>
      <c r="F2" s="24" t="s">
        <v>101</v>
      </c>
      <c r="G2" s="24" t="s">
        <v>142</v>
      </c>
    </row>
    <row r="3" ht="16.5" customHeight="1">
      <c r="A3" s="25" t="s">
        <v>143</v>
      </c>
      <c r="B3" s="26">
        <v>18.0</v>
      </c>
      <c r="C3" s="26">
        <v>26.0</v>
      </c>
      <c r="D3" s="26">
        <v>35.0</v>
      </c>
      <c r="E3" s="27" t="s">
        <v>144</v>
      </c>
      <c r="F3" s="27" t="s">
        <v>145</v>
      </c>
      <c r="G3" s="25" t="s">
        <v>146</v>
      </c>
    </row>
    <row r="4" ht="16.5" customHeight="1">
      <c r="A4" s="8" t="s">
        <v>147</v>
      </c>
      <c r="B4" s="9">
        <v>22.0</v>
      </c>
      <c r="C4" s="9">
        <v>31.0</v>
      </c>
      <c r="D4" s="9">
        <v>42.0</v>
      </c>
      <c r="E4" s="15" t="s">
        <v>148</v>
      </c>
      <c r="F4" s="15" t="s">
        <v>149</v>
      </c>
      <c r="G4" s="8" t="s">
        <v>146</v>
      </c>
    </row>
    <row r="5" ht="16.5" customHeight="1">
      <c r="A5" s="25" t="s">
        <v>150</v>
      </c>
      <c r="B5" s="26">
        <v>8.0</v>
      </c>
      <c r="C5" s="26">
        <v>12.0</v>
      </c>
      <c r="D5" s="26">
        <v>17.0</v>
      </c>
      <c r="E5" s="27" t="s">
        <v>151</v>
      </c>
      <c r="F5" s="27" t="s">
        <v>152</v>
      </c>
      <c r="G5" s="25" t="s">
        <v>153</v>
      </c>
    </row>
    <row r="6" ht="16.5" customHeight="1">
      <c r="A6" s="8" t="s">
        <v>154</v>
      </c>
      <c r="B6" s="9">
        <v>7.0</v>
      </c>
      <c r="C6" s="9">
        <v>10.0</v>
      </c>
      <c r="D6" s="9">
        <v>14.0</v>
      </c>
      <c r="E6" s="15" t="s">
        <v>155</v>
      </c>
      <c r="F6" s="15" t="s">
        <v>156</v>
      </c>
      <c r="G6" s="8" t="s">
        <v>146</v>
      </c>
    </row>
    <row r="7" ht="16.5" customHeight="1">
      <c r="A7" s="25" t="s">
        <v>157</v>
      </c>
      <c r="B7" s="26">
        <v>9.0</v>
      </c>
      <c r="C7" s="26">
        <v>14.0</v>
      </c>
      <c r="D7" s="26">
        <v>21.0</v>
      </c>
      <c r="E7" s="27" t="s">
        <v>158</v>
      </c>
      <c r="F7" s="27" t="s">
        <v>159</v>
      </c>
      <c r="G7" s="25" t="s">
        <v>153</v>
      </c>
    </row>
    <row r="8" ht="16.5" customHeight="1">
      <c r="A8" s="8" t="s">
        <v>160</v>
      </c>
      <c r="B8" s="9">
        <v>8.0</v>
      </c>
      <c r="C8" s="9">
        <v>12.0</v>
      </c>
      <c r="D8" s="9">
        <v>18.0</v>
      </c>
      <c r="E8" s="15" t="s">
        <v>161</v>
      </c>
      <c r="F8" s="15" t="s">
        <v>162</v>
      </c>
      <c r="G8" s="8" t="s">
        <v>153</v>
      </c>
    </row>
    <row r="9" ht="16.5" customHeight="1">
      <c r="A9" s="25" t="s">
        <v>163</v>
      </c>
      <c r="B9" s="26">
        <v>4.0</v>
      </c>
      <c r="C9" s="26">
        <v>7.0</v>
      </c>
      <c r="D9" s="26">
        <v>11.0</v>
      </c>
      <c r="E9" s="27" t="s">
        <v>164</v>
      </c>
      <c r="F9" s="27" t="s">
        <v>165</v>
      </c>
      <c r="G9" s="25" t="s">
        <v>166</v>
      </c>
    </row>
    <row r="10" ht="16.5" customHeight="1">
      <c r="A10" s="8" t="s">
        <v>167</v>
      </c>
      <c r="B10" s="9">
        <v>3.0</v>
      </c>
      <c r="C10" s="9">
        <v>6.0</v>
      </c>
      <c r="D10" s="9">
        <v>10.0</v>
      </c>
      <c r="E10" s="15" t="s">
        <v>168</v>
      </c>
      <c r="F10" s="15" t="s">
        <v>33</v>
      </c>
      <c r="G10" s="8" t="s">
        <v>166</v>
      </c>
    </row>
    <row r="11" ht="16.5" customHeight="1">
      <c r="A11" s="25" t="s">
        <v>169</v>
      </c>
      <c r="B11" s="26">
        <v>2.0</v>
      </c>
      <c r="C11" s="26">
        <v>3.5</v>
      </c>
      <c r="D11" s="26">
        <v>5.0</v>
      </c>
      <c r="E11" s="27" t="s">
        <v>170</v>
      </c>
      <c r="F11" s="27" t="s">
        <v>31</v>
      </c>
      <c r="G11" s="25" t="s">
        <v>171</v>
      </c>
    </row>
    <row r="12" ht="16.5" customHeight="1">
      <c r="A12" s="28" t="s">
        <v>172</v>
      </c>
      <c r="B12" s="29">
        <v>10.0</v>
      </c>
      <c r="C12" s="29">
        <v>18.0</v>
      </c>
      <c r="D12" s="29">
        <v>22.0</v>
      </c>
      <c r="E12" s="30" t="s">
        <v>173</v>
      </c>
      <c r="F12" s="30" t="s">
        <v>174</v>
      </c>
      <c r="G12" s="28" t="s">
        <v>175</v>
      </c>
    </row>
    <row r="13" ht="16.5" customHeight="1">
      <c r="A13" s="25" t="s">
        <v>176</v>
      </c>
      <c r="B13" s="26">
        <v>8.0</v>
      </c>
      <c r="C13" s="26">
        <v>6.5</v>
      </c>
      <c r="D13" s="26">
        <v>5.0</v>
      </c>
      <c r="E13" s="27" t="s">
        <v>177</v>
      </c>
      <c r="F13" s="27" t="s">
        <v>178</v>
      </c>
      <c r="G13" s="25" t="s">
        <v>179</v>
      </c>
    </row>
    <row r="16" ht="34.5" customHeight="1">
      <c r="A16" s="31" t="s">
        <v>180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6:G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0"/>
    <col customWidth="1" min="3" max="3" width="16.0"/>
    <col customWidth="1" min="4" max="4" width="14.0"/>
    <col customWidth="1" min="5" max="5" width="42.0"/>
    <col customWidth="1" min="6" max="6" width="14.0"/>
    <col customWidth="1" min="7" max="26" width="8.71"/>
  </cols>
  <sheetData>
    <row r="1" ht="27.75" customHeight="1">
      <c r="A1" s="23" t="s">
        <v>181</v>
      </c>
      <c r="B1" s="2"/>
      <c r="C1" s="2"/>
      <c r="D1" s="2"/>
      <c r="E1" s="2"/>
      <c r="F1" s="3"/>
    </row>
    <row r="2">
      <c r="A2" s="24" t="s">
        <v>182</v>
      </c>
      <c r="B2" s="24" t="s">
        <v>183</v>
      </c>
      <c r="C2" s="24" t="s">
        <v>184</v>
      </c>
      <c r="D2" s="24" t="s">
        <v>6</v>
      </c>
      <c r="E2" s="24" t="s">
        <v>185</v>
      </c>
      <c r="F2" s="24" t="s">
        <v>186</v>
      </c>
    </row>
    <row r="3" ht="18.0" customHeight="1">
      <c r="A3" s="32" t="s">
        <v>187</v>
      </c>
      <c r="B3" s="27" t="s">
        <v>188</v>
      </c>
      <c r="C3" s="27" t="s">
        <v>189</v>
      </c>
      <c r="D3" s="27" t="s">
        <v>190</v>
      </c>
      <c r="E3" s="25" t="s">
        <v>191</v>
      </c>
      <c r="F3" s="25" t="s">
        <v>192</v>
      </c>
    </row>
    <row r="4" ht="18.0" customHeight="1">
      <c r="A4" s="12" t="s">
        <v>193</v>
      </c>
      <c r="B4" s="15" t="s">
        <v>194</v>
      </c>
      <c r="C4" s="15" t="s">
        <v>195</v>
      </c>
      <c r="D4" s="15" t="s">
        <v>196</v>
      </c>
      <c r="E4" s="8" t="s">
        <v>197</v>
      </c>
      <c r="F4" s="8" t="s">
        <v>198</v>
      </c>
    </row>
    <row r="5" ht="18.0" customHeight="1">
      <c r="A5" s="32" t="s">
        <v>199</v>
      </c>
      <c r="B5" s="27" t="s">
        <v>200</v>
      </c>
      <c r="C5" s="27" t="s">
        <v>201</v>
      </c>
      <c r="D5" s="27" t="s">
        <v>202</v>
      </c>
      <c r="E5" s="25" t="s">
        <v>203</v>
      </c>
      <c r="F5" s="25" t="s">
        <v>204</v>
      </c>
    </row>
    <row r="6" ht="18.0" customHeight="1">
      <c r="A6" s="12" t="s">
        <v>205</v>
      </c>
      <c r="B6" s="15" t="s">
        <v>206</v>
      </c>
      <c r="C6" s="15" t="s">
        <v>207</v>
      </c>
      <c r="D6" s="15" t="s">
        <v>206</v>
      </c>
      <c r="E6" s="8" t="s">
        <v>208</v>
      </c>
      <c r="F6" s="8" t="s">
        <v>209</v>
      </c>
    </row>
    <row r="7" ht="18.0" customHeight="1">
      <c r="A7" s="32" t="s">
        <v>210</v>
      </c>
      <c r="B7" s="27" t="s">
        <v>211</v>
      </c>
      <c r="C7" s="27" t="s">
        <v>212</v>
      </c>
      <c r="D7" s="27" t="s">
        <v>211</v>
      </c>
      <c r="E7" s="25" t="s">
        <v>213</v>
      </c>
      <c r="F7" s="25" t="s">
        <v>214</v>
      </c>
    </row>
    <row r="8" ht="18.0" customHeight="1">
      <c r="A8" s="12" t="s">
        <v>215</v>
      </c>
      <c r="B8" s="15" t="s">
        <v>216</v>
      </c>
      <c r="C8" s="15" t="s">
        <v>217</v>
      </c>
      <c r="D8" s="15" t="s">
        <v>216</v>
      </c>
      <c r="E8" s="8" t="s">
        <v>218</v>
      </c>
      <c r="F8" s="8" t="s">
        <v>214</v>
      </c>
    </row>
    <row r="9" ht="18.0" customHeight="1">
      <c r="A9" s="32" t="s">
        <v>219</v>
      </c>
      <c r="B9" s="27" t="s">
        <v>220</v>
      </c>
      <c r="C9" s="27" t="s">
        <v>221</v>
      </c>
      <c r="D9" s="27" t="s">
        <v>220</v>
      </c>
      <c r="E9" s="25" t="s">
        <v>222</v>
      </c>
      <c r="F9" s="25" t="s">
        <v>223</v>
      </c>
    </row>
    <row r="10" ht="18.0" customHeight="1">
      <c r="A10" s="12" t="s">
        <v>224</v>
      </c>
      <c r="B10" s="15" t="s">
        <v>26</v>
      </c>
      <c r="C10" s="15" t="s">
        <v>25</v>
      </c>
      <c r="D10" s="15" t="s">
        <v>26</v>
      </c>
      <c r="E10" s="8" t="s">
        <v>225</v>
      </c>
      <c r="F10" s="8" t="s">
        <v>223</v>
      </c>
    </row>
    <row r="11" ht="18.0" customHeight="1">
      <c r="A11" s="32" t="s">
        <v>226</v>
      </c>
      <c r="B11" s="27" t="s">
        <v>227</v>
      </c>
      <c r="C11" s="27" t="s">
        <v>228</v>
      </c>
      <c r="D11" s="27" t="s">
        <v>229</v>
      </c>
      <c r="E11" s="25" t="s">
        <v>230</v>
      </c>
      <c r="F11" s="25" t="s">
        <v>223</v>
      </c>
    </row>
    <row r="12" ht="18.0" customHeight="1">
      <c r="A12" s="12" t="s">
        <v>231</v>
      </c>
      <c r="B12" s="15" t="s">
        <v>232</v>
      </c>
      <c r="C12" s="15" t="s">
        <v>233</v>
      </c>
      <c r="D12" s="15" t="s">
        <v>232</v>
      </c>
      <c r="E12" s="8" t="s">
        <v>234</v>
      </c>
      <c r="F12" s="8" t="s">
        <v>192</v>
      </c>
    </row>
    <row r="13" ht="18.0" customHeight="1">
      <c r="A13" s="32" t="s">
        <v>235</v>
      </c>
      <c r="B13" s="27" t="s">
        <v>236</v>
      </c>
      <c r="C13" s="27" t="s">
        <v>237</v>
      </c>
      <c r="D13" s="27" t="s">
        <v>236</v>
      </c>
      <c r="E13" s="25" t="s">
        <v>238</v>
      </c>
      <c r="F13" s="25" t="s">
        <v>204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6.0"/>
    <col customWidth="1" min="3" max="3" width="14.0"/>
    <col customWidth="1" min="4" max="4" width="18.0"/>
    <col customWidth="1" min="5" max="5" width="14.0"/>
    <col customWidth="1" min="6" max="6" width="10.0"/>
    <col customWidth="1" min="7" max="7" width="42.0"/>
    <col customWidth="1" min="8" max="26" width="8.71"/>
  </cols>
  <sheetData>
    <row r="1" ht="27.75" customHeight="1">
      <c r="A1" s="23" t="s">
        <v>239</v>
      </c>
      <c r="B1" s="2"/>
      <c r="C1" s="2"/>
      <c r="D1" s="2"/>
      <c r="E1" s="2"/>
      <c r="F1" s="2"/>
      <c r="G1" s="3"/>
    </row>
    <row r="2">
      <c r="A2" s="24" t="s">
        <v>240</v>
      </c>
      <c r="B2" s="24" t="s">
        <v>241</v>
      </c>
      <c r="C2" s="24" t="s">
        <v>242</v>
      </c>
      <c r="D2" s="24" t="s">
        <v>243</v>
      </c>
      <c r="E2" s="24" t="s">
        <v>244</v>
      </c>
      <c r="F2" s="24" t="s">
        <v>101</v>
      </c>
      <c r="G2" s="24" t="s">
        <v>9</v>
      </c>
    </row>
    <row r="3" ht="18.0" customHeight="1">
      <c r="A3" s="25" t="s">
        <v>245</v>
      </c>
      <c r="B3" s="33">
        <v>1820.0</v>
      </c>
      <c r="C3" s="25" t="s">
        <v>246</v>
      </c>
      <c r="D3" s="27" t="s">
        <v>247</v>
      </c>
      <c r="E3" s="27" t="s">
        <v>248</v>
      </c>
      <c r="F3" s="27" t="s">
        <v>178</v>
      </c>
      <c r="G3" s="25" t="s">
        <v>249</v>
      </c>
    </row>
    <row r="4" ht="18.0" customHeight="1">
      <c r="A4" s="8" t="s">
        <v>250</v>
      </c>
      <c r="B4" s="34">
        <v>890.0</v>
      </c>
      <c r="C4" s="8" t="s">
        <v>246</v>
      </c>
      <c r="D4" s="15" t="s">
        <v>251</v>
      </c>
      <c r="E4" s="15" t="s">
        <v>252</v>
      </c>
      <c r="F4" s="15" t="s">
        <v>253</v>
      </c>
      <c r="G4" s="8" t="s">
        <v>254</v>
      </c>
    </row>
    <row r="5" ht="18.0" customHeight="1">
      <c r="A5" s="25" t="s">
        <v>255</v>
      </c>
      <c r="B5" s="33">
        <v>640.0</v>
      </c>
      <c r="C5" s="25" t="s">
        <v>256</v>
      </c>
      <c r="D5" s="27" t="s">
        <v>257</v>
      </c>
      <c r="E5" s="27" t="s">
        <v>258</v>
      </c>
      <c r="F5" s="27" t="s">
        <v>149</v>
      </c>
      <c r="G5" s="25" t="s">
        <v>259</v>
      </c>
    </row>
    <row r="6" ht="18.0" customHeight="1">
      <c r="A6" s="8" t="s">
        <v>260</v>
      </c>
      <c r="B6" s="34">
        <v>420.0</v>
      </c>
      <c r="C6" s="8" t="s">
        <v>261</v>
      </c>
      <c r="D6" s="15" t="s">
        <v>262</v>
      </c>
      <c r="E6" s="15" t="s">
        <v>263</v>
      </c>
      <c r="F6" s="15" t="s">
        <v>194</v>
      </c>
      <c r="G6" s="8" t="s">
        <v>264</v>
      </c>
    </row>
    <row r="7" ht="18.0" customHeight="1">
      <c r="A7" s="25" t="s">
        <v>265</v>
      </c>
      <c r="B7" s="33">
        <v>180.0</v>
      </c>
      <c r="C7" s="25" t="s">
        <v>256</v>
      </c>
      <c r="D7" s="27" t="s">
        <v>156</v>
      </c>
      <c r="E7" s="27" t="s">
        <v>266</v>
      </c>
      <c r="F7" s="27" t="s">
        <v>267</v>
      </c>
      <c r="G7" s="25" t="s">
        <v>268</v>
      </c>
    </row>
    <row r="8" ht="18.0" customHeight="1">
      <c r="A8" s="35" t="s">
        <v>269</v>
      </c>
      <c r="B8" s="36">
        <v>200.0</v>
      </c>
      <c r="C8" s="35" t="s">
        <v>256</v>
      </c>
      <c r="D8" s="37" t="s">
        <v>33</v>
      </c>
      <c r="E8" s="37" t="s">
        <v>211</v>
      </c>
      <c r="F8" s="37" t="s">
        <v>149</v>
      </c>
      <c r="G8" s="35" t="s">
        <v>270</v>
      </c>
    </row>
    <row r="9" ht="18.0" customHeight="1">
      <c r="A9" s="25" t="s">
        <v>271</v>
      </c>
      <c r="B9" s="33">
        <v>85.0</v>
      </c>
      <c r="C9" s="25" t="s">
        <v>261</v>
      </c>
      <c r="D9" s="27" t="s">
        <v>31</v>
      </c>
      <c r="E9" s="27" t="s">
        <v>272</v>
      </c>
      <c r="F9" s="27" t="s">
        <v>273</v>
      </c>
      <c r="G9" s="25" t="s">
        <v>274</v>
      </c>
    </row>
    <row r="10" ht="18.0" customHeight="1">
      <c r="A10" s="8" t="s">
        <v>275</v>
      </c>
      <c r="B10" s="34">
        <v>42.0</v>
      </c>
      <c r="C10" s="8" t="s">
        <v>276</v>
      </c>
      <c r="D10" s="15" t="s">
        <v>277</v>
      </c>
      <c r="E10" s="15" t="s">
        <v>278</v>
      </c>
      <c r="F10" s="15" t="s">
        <v>279</v>
      </c>
      <c r="G10" s="8" t="s">
        <v>280</v>
      </c>
    </row>
    <row r="13" ht="30.0" customHeight="1">
      <c r="A13" s="31" t="s">
        <v>281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3:G1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2026-04-19T08:48:09Z</dcterms:created>
  <dc:creator>openpyxl</dc:creator>
</cp:coreProperties>
</file>