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Throughput_Summary" sheetId="1" r:id="rId5"/>
    <sheet state="visible" name="Arrival_Profile_15min" sheetId="2" r:id="rId6"/>
    <sheet state="visible" name="Process Map" sheetId="3" r:id="rId7"/>
    <sheet state="visible" name="Cycle_Time_By_Step" sheetId="4" r:id="rId8"/>
    <sheet state="visible" name="Lane Utilisation" sheetId="5" r:id="rId9"/>
    <sheet state="visible" name="Quality_Rescreen_Log" sheetId="6" r:id="rId10"/>
    <sheet state="visible" name="Labor_Roster" sheetId="7" r:id="rId11"/>
    <sheet state="visible" name="Shipment_Path_Sample_50" sheetId="8" r:id="rId12"/>
    <sheet state="visible" name="SLA_And_Penalty_Rules" sheetId="9" r:id="rId13"/>
    <sheet state="visible" name="Customer_Mix" sheetId="10" r:id="rId14"/>
    <sheet state="visible" name="Intervention_Options" sheetId="11" r:id="rId15"/>
    <sheet state="visible" name="Weekly_Averages" sheetId="12" r:id="rId16"/>
  </sheets>
  <definedNames/>
  <calcPr/>
</workbook>
</file>

<file path=xl/sharedStrings.xml><?xml version="1.0" encoding="utf-8"?>
<sst xmlns="http://schemas.openxmlformats.org/spreadsheetml/2006/main" count="402" uniqueCount="269">
  <si>
    <t>Metric</t>
  </si>
  <si>
    <t>Value</t>
  </si>
  <si>
    <t>Avg total shipments per day</t>
  </si>
  <si>
    <t>Avg premium express shipments per day</t>
  </si>
  <si>
    <t>Avg standard shipments per day</t>
  </si>
  <si>
    <t>Avg total cargo weight per day (kg)</t>
  </si>
  <si>
    <t>Avg premium express cargo weight per day (kg)</t>
  </si>
  <si>
    <t>Avg standard cargo weight per day (kg)</t>
  </si>
  <si>
    <t>Avg premium shipment weight (kg/shipment)</t>
  </si>
  <si>
    <t>Avg standard shipment weight (kg/shipment)</t>
  </si>
  <si>
    <t>Avg terminal operating hours/day</t>
  </si>
  <si>
    <t>Avg premium daily arrival rate (shipments/hour)</t>
  </si>
  <si>
    <t>Avg premium daily arrival rate (kg/hour)</t>
  </si>
  <si>
    <t>Avg premium same-day uplift target</t>
  </si>
  <si>
    <t>Actual premium same-day uplift last 14 days</t>
  </si>
  <si>
    <t>Premium SLA penalty per delayed shipment (INR)</t>
  </si>
  <si>
    <t>Avg contribution margin per premium shipment retained (INR)</t>
  </si>
  <si>
    <t>Estimated premium customer churn after repeated failures</t>
  </si>
  <si>
    <t>6.0% of delayed shipments</t>
  </si>
  <si>
    <t>Note ID</t>
  </si>
  <si>
    <t>Note</t>
  </si>
  <si>
    <t>N1</t>
  </si>
  <si>
    <t>Daily averages include full operating day and are not suitable for dispatch-bank bottleneck diagnosis.</t>
  </si>
  <si>
    <t>N2</t>
  </si>
  <si>
    <t>Same-day dispatch performance is determined by evening flight bank cut-off adherence, not average daily throughput.</t>
  </si>
  <si>
    <t>Premium express arrivals by 15-minute bucket</t>
  </si>
  <si>
    <t>Time Slot</t>
  </si>
  <si>
    <t>Premium Shipments</t>
  </si>
  <si>
    <t>Premium Weight (kg)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</si>
  <si>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</si>
  <si>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</si>
  <si>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</si>
  <si>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</si>
  <si>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</si>
  <si>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</si>
  <si>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</si>
  <si>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</si>
  <si>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</si>
  <si>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</si>
  <si>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</si>
  <si>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</si>
  <si>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</si>
  <si>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</si>
  <si>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</si>
  <si>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</si>
  <si>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</si>
  <si>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</si>
  <si>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</si>
  <si>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</si>
  <si>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</si>
  <si>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</si>
  <si>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</si>
  <si>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</si>
  <si>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</si>
  <si>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</si>
  <si>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</si>
  <si>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</si>
  <si>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</si>
  <si>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</si>
  <si>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</si>
  <si>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</si>
  <si>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</si>
  <si>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</si>
  <si>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</si>
  <si>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</si>
  <si>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</si>
  <si>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</si>
  <si>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</si>
  <si>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</si>
  <si>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PreComputed Total</t>
  </si>
  <si>
    <t>Window</t>
  </si>
  <si>
    <t>Shipments</t>
  </si>
  <si>
    <t>Weight (kg)</t>
  </si>
  <si>
    <t>12:00-16:00</t>
  </si>
  <si>
    <t>16:00-20:00</t>
  </si>
  <si>
    <t>17:00-20:00</t>
  </si>
  <si>
    <t>17:30-19:30</t>
  </si>
  <si>
    <t>Full day in table</t>
  </si>
  <si>
    <t>N3</t>
  </si>
  <si>
    <t>Premium cargo for the evening flight bank is operationally sensitive from 17:00 onward.</t>
  </si>
  <si>
    <t>N4</t>
  </si>
  <si>
    <t>Cargo accepted after the processing cut-off may still be processed but cannot be loaded onto the same-day premium dispatch bank.</t>
  </si>
  <si>
    <t>Step No.</t>
  </si>
  <si>
    <t>Process Step</t>
  </si>
  <si>
    <t>Description</t>
  </si>
  <si>
    <t>Inbound Acceptance</t>
  </si>
  <si>
    <t>AWB check, weighment, acceptance scan</t>
  </si>
  <si>
    <t>Security Screening</t>
  </si>
  <si>
    <t>X-ray / ETD screening before airside release</t>
  </si>
  <si>
    <t>Exception Handling</t>
  </si>
  <si>
    <t>Secondary check for flagged cargo</t>
  </si>
  <si>
    <t>Pallet Build-Up</t>
  </si>
  <si>
    <t>Build and seal airline pallets/ULD-equivalent build units</t>
  </si>
  <si>
    <t>Dispatch Dock Transfer</t>
  </si>
  <si>
    <t>Move built pallets to dispatch dock staging</t>
  </si>
  <si>
    <t>Flight Dock Load-Out</t>
  </si>
  <si>
    <t>Release to airline truck / airside transfer before cut-off</t>
  </si>
  <si>
    <t>Unit</t>
  </si>
  <si>
    <t>Avg Processing Time per Shipment (sec)</t>
  </si>
  <si>
    <t>Parallel Resources Scheduled</t>
  </si>
  <si>
    <t>Nominal Capacity per Hour</t>
  </si>
  <si>
    <t>shipment</t>
  </si>
  <si>
    <t>Resource Type</t>
  </si>
  <si>
    <t>Scheduled Units</t>
  </si>
  <si>
    <t>Available 17:00-20:00</t>
  </si>
  <si>
    <t>Downtime Rule</t>
  </si>
  <si>
    <t>Effective Scheduled Time Loss</t>
  </si>
  <si>
    <t>Acceptance counters</t>
  </si>
  <si>
    <t>None</t>
  </si>
  <si>
    <t>0 min</t>
  </si>
  <si>
    <t>Screening lanes</t>
  </si>
  <si>
    <t>Lane 4 unavailable from 18:15-19:00 for mandatory recalibration</t>
  </si>
  <si>
    <t>45 min</t>
  </si>
  <si>
    <t>Build-up stations</t>
  </si>
  <si>
    <t>Dispatch dock bays</t>
  </si>
  <si>
    <t>Derived screening lane-hours in 17:00-20:00</t>
  </si>
  <si>
    <t>Nominal lane-hours available</t>
  </si>
  <si>
    <t>Lost lane-hours due to recalibration</t>
  </si>
  <si>
    <t>Effective lane-hours before re-screen load</t>
  </si>
  <si>
    <t>N5</t>
  </si>
  <si>
    <t>Recalibration occurs daily during the evening bank due to regulatory compliance scheduling.</t>
  </si>
  <si>
    <t>N6</t>
  </si>
  <si>
    <t>Summary staffing reports count all 4 screening lanes as “staffed,” even during recalibration downtime.</t>
  </si>
  <si>
    <t>Share of premium shipments requiring secondary re-screen</t>
  </si>
  <si>
    <t>Avg additional screening touch time per re-screen shipment</t>
  </si>
  <si>
    <t>20 sec</t>
  </si>
  <si>
    <t>Share of re-screen shipments also routed to exception handling</t>
  </si>
  <si>
    <t>Exception handling time per flagged shipment</t>
  </si>
  <si>
    <t>75 sec</t>
  </si>
  <si>
    <t>Re-screen loop consumes main screening lane time?</t>
  </si>
  <si>
    <t>Yes</t>
  </si>
  <si>
    <t>Derived Load</t>
  </si>
  <si>
    <t>Measure</t>
  </si>
  <si>
    <t>Additional screening work created per 100 incoming shipments</t>
  </si>
  <si>
    <t>8 extra screening touches</t>
  </si>
  <si>
    <t>Additional exception shipments created per 100 incoming shipments</t>
  </si>
  <si>
    <t>Equivalent screening workload multiplier</t>
  </si>
  <si>
    <t>Role</t>
  </si>
  <si>
    <t>12:00-17:00</t>
  </si>
  <si>
    <t>20:00-22:00</t>
  </si>
  <si>
    <t>Acceptance associates</t>
  </si>
  <si>
    <t>Screening associates</t>
  </si>
  <si>
    <t>Exception desk associates</t>
  </si>
  <si>
    <t>Build-up operators</t>
  </si>
  <si>
    <t>Dock handlers</t>
  </si>
  <si>
    <t>Documentation clerks</t>
  </si>
  <si>
    <t>N7</t>
  </si>
  <si>
    <t>From 19:00 onward, 2 build-up operators are reassigned for truck reconciliation and premium manifest correction support until final dock close.</t>
  </si>
  <si>
    <t>N8</t>
  </si>
  <si>
    <t>Reassigned operators are still shown under “Build-up operators” in summary manpower reports.</t>
  </si>
  <si>
    <t>Effective Building Up Staff</t>
  </si>
  <si>
    <t>Effective Build-up Operators</t>
  </si>
  <si>
    <t>17:00-19:00</t>
  </si>
  <si>
    <t>19:00-20:00</t>
  </si>
  <si>
    <t>Shipment ID</t>
  </si>
  <si>
    <t>Acceptance End</t>
  </si>
  <si>
    <t>Screening Start</t>
  </si>
  <si>
    <t>Screening End</t>
  </si>
  <si>
    <t>Rescreen?</t>
  </si>
  <si>
    <t>Exception Handling End</t>
  </si>
  <si>
    <t>Build-Up Start</t>
  </si>
  <si>
    <t>Build-Up End</t>
  </si>
  <si>
    <t>Dock Release</t>
  </si>
  <si>
    <t>Missed Same-Day Cutoff?</t>
  </si>
  <si>
    <t>S001</t>
  </si>
  <si>
    <t>No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</si>
  <si>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</si>
  <si>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</si>
  <si>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</si>
  <si>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</si>
  <si>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</si>
  <si>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</si>
  <si>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</si>
  <si>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</si>
  <si>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</si>
  <si>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</si>
  <si>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</si>
  <si>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</si>
  <si>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</si>
  <si>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</si>
  <si>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</si>
  <si>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</si>
  <si>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</si>
  <si>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</si>
  <si>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</si>
  <si>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</si>
  <si>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</si>
  <si>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</si>
  <si>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</si>
  <si>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</si>
  <si>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</si>
  <si>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</si>
  <si>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</si>
  <si>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</si>
  <si>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</si>
  <si>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</si>
  <si>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</si>
  <si>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</si>
  <si>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</si>
  <si>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</si>
  <si>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</si>
  <si>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</si>
  <si>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</si>
  <si>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</si>
  <si>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</si>
  <si>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</si>
  <si>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</si>
  <si>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</si>
  <si>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</si>
  <si>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</si>
  <si>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</si>
  <si>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</si>
  <si>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</si>
  <si>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</si>
  <si>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</si>
  <si>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Rule</t>
  </si>
  <si>
    <t>Same-day premium dispatch final dock cut-off</t>
  </si>
  <si>
    <t>Premium shipments released after 20:00 considered delayed?</t>
  </si>
  <si>
    <t>SLA penalty per delayed premium shipment (INR)</t>
  </si>
  <si>
    <t>Avg contribution margin per premium shipment (INR)</t>
  </si>
  <si>
    <t>Churn assumption after repeated delay</t>
  </si>
  <si>
    <t>6% of delayed premium shipments</t>
  </si>
  <si>
    <t>Financial evaluation period</t>
  </si>
  <si>
    <t>30 days</t>
  </si>
  <si>
    <t>Derived Impact Values</t>
  </si>
  <si>
    <t>Component</t>
  </si>
  <si>
    <t>Formula</t>
  </si>
  <si>
    <t>Monthly penalty cost</t>
  </si>
  <si>
    <t>Delayed shipments/day × 180 × 30</t>
  </si>
  <si>
    <t>Monthly churned shipments</t>
  </si>
  <si>
    <t>Delayed shipments/day × 6% × 30</t>
  </si>
  <si>
    <t>Monthly lost contribution</t>
  </si>
  <si>
    <t>Churned shipments × 95</t>
  </si>
  <si>
    <t>Total monthly impact</t>
  </si>
  <si>
    <t>Monthly penalty cost + Monthly lost contribution</t>
  </si>
  <si>
    <t>Customer Type</t>
  </si>
  <si>
    <t>Share of Premium Shipments</t>
  </si>
  <si>
    <t>Avg Revenue per Shipment (INR)</t>
  </si>
  <si>
    <t>Avg Contribution Margin (INR)</t>
  </si>
  <si>
    <t>E-commerce marketplaces</t>
  </si>
  <si>
    <t>D2C brands</t>
  </si>
  <si>
    <t>Pharma cold-chain small parcels</t>
  </si>
  <si>
    <t>Banking / legal time-critical docs</t>
  </si>
  <si>
    <t>Intervention</t>
  </si>
  <si>
    <t>One-time Cost (INR)</t>
  </si>
  <si>
    <t>Monthly Cost (INR)</t>
  </si>
  <si>
    <t>Capacity Effect</t>
  </si>
  <si>
    <t>Add 1 inbound acceptance counter</t>
  </si>
  <si>
    <t>Add 1 screening lane</t>
  </si>
  <si>
    <t>Add 2 build-up operators</t>
  </si>
  <si>
    <t>Build-up capacity rises from 750/hour to 1,050/hour before reallocation</t>
  </si>
  <si>
    <t>Pool end-of-line labor and stop build-up reallocation after 19:00</t>
  </si>
  <si>
    <t>Keeps build-up staffing at 5 until 20:00</t>
  </si>
  <si>
    <t>Make no capacity change</t>
  </si>
  <si>
    <t>No change</t>
  </si>
  <si>
    <t>N9</t>
  </si>
  <si>
    <t>Additional screening lane is not subject to the existing lane-4 recalibration schedule during the first 6 months because it uses a newly certified unit.</t>
  </si>
  <si>
    <t>N10</t>
  </si>
  <si>
    <t>Pooling end-of-line labor removes the 19:00 build-up reallocation but does not change screening throughput.</t>
  </si>
  <si>
    <t>Week</t>
  </si>
  <si>
    <t>Total Shipments</t>
  </si>
  <si>
    <t>Total Weight (kg)</t>
  </si>
  <si>
    <t>Avg Acceptance Utilization</t>
  </si>
  <si>
    <t>Avg Screening Utilization</t>
  </si>
  <si>
    <t>Avg Build-Up Utilization</t>
  </si>
  <si>
    <t>W1</t>
  </si>
  <si>
    <t>W2</t>
  </si>
  <si>
    <t>W3</t>
  </si>
  <si>
    <t>W4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</si>
</sst>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D6D5D4"/>
      <name val="PplxSerif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3" xfId="0" applyAlignment="1" applyBorder="1" applyFont="1" applyNumberFormat="1">
      <alignment horizontal="left" readingOrder="0"/>
    </xf>
    <xf borderId="1" fillId="0" fontId="2" numFmtId="10" xfId="0" applyAlignment="1" applyBorder="1" applyFont="1" applyNumberFormat="1">
      <alignment horizontal="left" readingOrder="0"/>
    </xf>
    <xf borderId="0" fillId="3" fontId="3" numFmtId="0" xfId="0" applyAlignment="1" applyFill="1" applyFont="1">
      <alignment readingOrder="0"/>
    </xf>
    <xf borderId="0" fillId="3" fontId="1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1" fillId="0" fontId="2" numFmtId="20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/>
    </xf>
    <xf borderId="0" fillId="0" fontId="5" numFmtId="0" xfId="0" applyAlignment="1" applyFont="1">
      <alignment readingOrder="0"/>
    </xf>
    <xf borderId="0" fillId="0" fontId="5" numFmtId="0" xfId="0" applyFont="1"/>
    <xf borderId="1" fillId="0" fontId="2" numFmtId="9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21.0"/>
  </cols>
  <sheetData>
    <row r="1">
      <c r="A1" s="1" t="s">
        <v>0</v>
      </c>
      <c r="B1" s="1" t="s">
        <v>1</v>
      </c>
    </row>
    <row r="2">
      <c r="A2" s="2" t="s">
        <v>2</v>
      </c>
      <c r="B2" s="3">
        <v>11800.0</v>
      </c>
    </row>
    <row r="3">
      <c r="A3" s="2" t="s">
        <v>3</v>
      </c>
      <c r="B3" s="3">
        <v>4200.0</v>
      </c>
    </row>
    <row r="4">
      <c r="A4" s="2" t="s">
        <v>4</v>
      </c>
      <c r="B4" s="3">
        <v>7600.0</v>
      </c>
    </row>
    <row r="5">
      <c r="A5" s="2" t="s">
        <v>5</v>
      </c>
      <c r="B5" s="3">
        <v>126000.0</v>
      </c>
    </row>
    <row r="6">
      <c r="A6" s="2" t="s">
        <v>6</v>
      </c>
      <c r="B6" s="3">
        <v>42000.0</v>
      </c>
    </row>
    <row r="7">
      <c r="A7" s="2" t="s">
        <v>7</v>
      </c>
      <c r="B7" s="3">
        <v>84000.0</v>
      </c>
    </row>
    <row r="8">
      <c r="A8" s="2" t="s">
        <v>8</v>
      </c>
      <c r="B8" s="2">
        <v>10.0</v>
      </c>
    </row>
    <row r="9">
      <c r="A9" s="2" t="s">
        <v>9</v>
      </c>
      <c r="B9" s="2">
        <v>11.1</v>
      </c>
    </row>
    <row r="10">
      <c r="A10" s="2" t="s">
        <v>10</v>
      </c>
      <c r="B10" s="2">
        <v>16.0</v>
      </c>
    </row>
    <row r="11">
      <c r="A11" s="2" t="s">
        <v>11</v>
      </c>
      <c r="B11" s="2">
        <v>262.5</v>
      </c>
    </row>
    <row r="12">
      <c r="A12" s="2" t="s">
        <v>12</v>
      </c>
      <c r="B12" s="3">
        <v>2625.0</v>
      </c>
    </row>
    <row r="13">
      <c r="A13" s="2" t="s">
        <v>13</v>
      </c>
      <c r="B13" s="4">
        <v>0.98</v>
      </c>
    </row>
    <row r="14">
      <c r="A14" s="2" t="s">
        <v>14</v>
      </c>
      <c r="B14" s="4">
        <v>0.934</v>
      </c>
    </row>
    <row r="15">
      <c r="A15" s="2" t="s">
        <v>15</v>
      </c>
      <c r="B15" s="2">
        <v>180.0</v>
      </c>
    </row>
    <row r="16">
      <c r="A16" s="2" t="s">
        <v>16</v>
      </c>
      <c r="B16" s="2">
        <v>95.0</v>
      </c>
    </row>
    <row r="17">
      <c r="A17" s="2" t="s">
        <v>17</v>
      </c>
      <c r="B17" s="2" t="s">
        <v>18</v>
      </c>
    </row>
    <row r="19">
      <c r="A19" s="1" t="s">
        <v>19</v>
      </c>
      <c r="B19" s="1" t="s">
        <v>20</v>
      </c>
    </row>
    <row r="20">
      <c r="A20" s="2" t="s">
        <v>21</v>
      </c>
      <c r="B20" s="2" t="s">
        <v>22</v>
      </c>
    </row>
    <row r="21">
      <c r="A21" s="2" t="s">
        <v>23</v>
      </c>
      <c r="B21" s="2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7.63"/>
  </cols>
  <sheetData>
    <row r="1">
      <c r="A1" s="5" t="s">
        <v>25</v>
      </c>
      <c r="B1" s="6"/>
      <c r="C1" s="6"/>
    </row>
    <row r="2">
      <c r="A2" s="1" t="s">
        <v>26</v>
      </c>
      <c r="B2" s="1" t="s">
        <v>27</v>
      </c>
      <c r="C2" s="1" t="s">
        <v>28</v>
      </c>
    </row>
    <row r="3">
      <c r="A3" s="2" t="s">
        <v>29</v>
      </c>
      <c r="B3" s="2">
        <v>55.0</v>
      </c>
      <c r="C3" s="2">
        <v>550.0</v>
      </c>
    </row>
    <row r="4">
      <c r="A4" s="2" t="s">
        <v>30</v>
      </c>
      <c r="B4" s="2">
        <v>60.0</v>
      </c>
      <c r="C4" s="2">
        <v>600.0</v>
      </c>
    </row>
    <row r="5">
      <c r="A5" s="2" t="s">
        <v>31</v>
      </c>
      <c r="B5" s="2">
        <v>62.0</v>
      </c>
      <c r="C5" s="2">
        <v>620.0</v>
      </c>
    </row>
    <row r="6">
      <c r="A6" s="2" t="s">
        <v>32</v>
      </c>
      <c r="B6" s="2">
        <v>68.0</v>
      </c>
      <c r="C6" s="2">
        <v>680.0</v>
      </c>
    </row>
    <row r="7">
      <c r="A7" s="2" t="s">
        <v>33</v>
      </c>
      <c r="B7" s="2">
        <v>72.0</v>
      </c>
      <c r="C7" s="2">
        <v>720.0</v>
      </c>
    </row>
    <row r="8">
      <c r="A8" s="2" t="s">
        <v>34</v>
      </c>
      <c r="B8" s="2">
        <v>74.0</v>
      </c>
      <c r="C8" s="2">
        <v>740.0</v>
      </c>
    </row>
    <row r="9">
      <c r="A9" s="2" t="s">
        <v>35</v>
      </c>
      <c r="B9" s="2">
        <v>76.0</v>
      </c>
      <c r="C9" s="2">
        <v>760.0</v>
      </c>
    </row>
    <row r="10">
      <c r="A10" s="2" t="s">
        <v>36</v>
      </c>
      <c r="B10" s="2">
        <v>78.0</v>
      </c>
      <c r="C10" s="2">
        <v>780.0</v>
      </c>
    </row>
    <row r="11">
      <c r="A11" s="2" t="s">
        <v>37</v>
      </c>
      <c r="B11" s="2">
        <v>82.0</v>
      </c>
      <c r="C11" s="2">
        <v>820.0</v>
      </c>
    </row>
    <row r="12">
      <c r="A12" s="2" t="s">
        <v>38</v>
      </c>
      <c r="B12" s="2">
        <v>88.0</v>
      </c>
      <c r="C12" s="2">
        <v>880.0</v>
      </c>
    </row>
    <row r="13">
      <c r="A13" s="2" t="s">
        <v>39</v>
      </c>
      <c r="B13" s="2">
        <v>96.0</v>
      </c>
      <c r="C13" s="2">
        <v>960.0</v>
      </c>
    </row>
    <row r="14">
      <c r="A14" s="2" t="s">
        <v>40</v>
      </c>
      <c r="B14" s="2">
        <v>104.0</v>
      </c>
      <c r="C14" s="2">
        <v>1040.0</v>
      </c>
    </row>
    <row r="15">
      <c r="A15" s="2" t="s">
        <v>41</v>
      </c>
      <c r="B15" s="2">
        <v>112.0</v>
      </c>
      <c r="C15" s="2">
        <v>1120.0</v>
      </c>
    </row>
    <row r="16">
      <c r="A16" s="2" t="s">
        <v>42</v>
      </c>
      <c r="B16" s="2">
        <v>120.0</v>
      </c>
      <c r="C16" s="2">
        <v>1200.0</v>
      </c>
    </row>
    <row r="17">
      <c r="A17" s="2" t="s">
        <v>43</v>
      </c>
      <c r="B17" s="2">
        <v>132.0</v>
      </c>
      <c r="C17" s="2">
        <v>1320.0</v>
      </c>
    </row>
    <row r="18">
      <c r="A18" s="2" t="s">
        <v>44</v>
      </c>
      <c r="B18" s="2">
        <v>148.0</v>
      </c>
      <c r="C18" s="2">
        <v>1480.0</v>
      </c>
    </row>
    <row r="19">
      <c r="A19" s="2" t="s">
        <v>45</v>
      </c>
      <c r="B19" s="2">
        <v>165.0</v>
      </c>
      <c r="C19" s="2">
        <v>1650.0</v>
      </c>
    </row>
    <row r="20">
      <c r="A20" s="2" t="s">
        <v>46</v>
      </c>
      <c r="B20" s="2">
        <v>178.0</v>
      </c>
      <c r="C20" s="2">
        <v>1780.0</v>
      </c>
    </row>
    <row r="21">
      <c r="A21" s="2" t="s">
        <v>47</v>
      </c>
      <c r="B21" s="2">
        <v>192.0</v>
      </c>
      <c r="C21" s="2">
        <v>1920.0</v>
      </c>
    </row>
    <row r="22">
      <c r="A22" s="2" t="s">
        <v>48</v>
      </c>
      <c r="B22" s="2">
        <v>205.0</v>
      </c>
      <c r="C22" s="2">
        <v>2050.0</v>
      </c>
    </row>
    <row r="23">
      <c r="A23" s="2" t="s">
        <v>49</v>
      </c>
      <c r="B23" s="2">
        <v>220.0</v>
      </c>
      <c r="C23" s="2">
        <v>2200.0</v>
      </c>
    </row>
    <row r="24">
      <c r="A24" s="2" t="s">
        <v>50</v>
      </c>
      <c r="B24" s="2">
        <v>236.0</v>
      </c>
      <c r="C24" s="2">
        <v>2360.0</v>
      </c>
    </row>
    <row r="25">
      <c r="A25" s="2" t="s">
        <v>51</v>
      </c>
      <c r="B25" s="2">
        <v>252.0</v>
      </c>
      <c r="C25" s="2">
        <v>2520.0</v>
      </c>
    </row>
    <row r="26">
      <c r="A26" s="2" t="s">
        <v>52</v>
      </c>
      <c r="B26" s="2">
        <v>268.0</v>
      </c>
      <c r="C26" s="2">
        <v>2680.0</v>
      </c>
    </row>
    <row r="27">
      <c r="A27" s="2" t="s">
        <v>53</v>
      </c>
      <c r="B27" s="2">
        <v>285.0</v>
      </c>
      <c r="C27" s="2">
        <v>2850.0</v>
      </c>
    </row>
    <row r="28">
      <c r="A28" s="2" t="s">
        <v>54</v>
      </c>
      <c r="B28" s="2">
        <v>298.0</v>
      </c>
      <c r="C28" s="2">
        <v>2980.0</v>
      </c>
    </row>
    <row r="29">
      <c r="A29" s="2" t="s">
        <v>55</v>
      </c>
      <c r="B29" s="2">
        <v>310.0</v>
      </c>
      <c r="C29" s="2">
        <v>3100.0</v>
      </c>
    </row>
    <row r="30">
      <c r="A30" s="2" t="s">
        <v>56</v>
      </c>
      <c r="B30" s="2">
        <v>320.0</v>
      </c>
      <c r="C30" s="2">
        <v>3200.0</v>
      </c>
    </row>
    <row r="31">
      <c r="A31" s="2" t="s">
        <v>57</v>
      </c>
      <c r="B31" s="2">
        <v>305.0</v>
      </c>
      <c r="C31" s="2">
        <v>3050.0</v>
      </c>
    </row>
    <row r="32">
      <c r="A32" s="2" t="s">
        <v>58</v>
      </c>
      <c r="B32" s="2">
        <v>288.0</v>
      </c>
      <c r="C32" s="2">
        <v>2880.0</v>
      </c>
    </row>
    <row r="33">
      <c r="A33" s="2" t="s">
        <v>59</v>
      </c>
      <c r="B33" s="2">
        <v>262.0</v>
      </c>
      <c r="C33" s="2">
        <v>2620.0</v>
      </c>
    </row>
    <row r="34">
      <c r="A34" s="2" t="s">
        <v>60</v>
      </c>
      <c r="B34" s="2">
        <v>236.0</v>
      </c>
      <c r="C34" s="2">
        <v>2360.0</v>
      </c>
    </row>
    <row r="35">
      <c r="A35" s="2" t="s">
        <v>61</v>
      </c>
      <c r="B35" s="2">
        <v>210.0</v>
      </c>
      <c r="C35" s="2">
        <v>2100.0</v>
      </c>
    </row>
    <row r="36">
      <c r="A36" s="2" t="s">
        <v>62</v>
      </c>
      <c r="B36" s="2">
        <v>184.0</v>
      </c>
      <c r="C36" s="2">
        <v>1840.0</v>
      </c>
    </row>
    <row r="37">
      <c r="A37" s="2" t="s">
        <v>63</v>
      </c>
      <c r="B37" s="2">
        <v>160.0</v>
      </c>
      <c r="C37" s="2">
        <v>1600.0</v>
      </c>
    </row>
    <row r="38">
      <c r="A38" s="2" t="s">
        <v>64</v>
      </c>
      <c r="B38" s="2">
        <v>138.0</v>
      </c>
      <c r="C38" s="2">
        <v>1380.0</v>
      </c>
    </row>
    <row r="39">
      <c r="A39" s="2" t="s">
        <v>65</v>
      </c>
      <c r="B39" s="2">
        <v>120.0</v>
      </c>
      <c r="C39" s="2">
        <v>1200.0</v>
      </c>
    </row>
    <row r="40">
      <c r="A40" s="2" t="s">
        <v>66</v>
      </c>
      <c r="B40" s="2">
        <v>102.0</v>
      </c>
      <c r="C40" s="2">
        <v>1020.0</v>
      </c>
    </row>
    <row r="41">
      <c r="A41" s="2" t="s">
        <v>67</v>
      </c>
      <c r="B41" s="2">
        <v>86.0</v>
      </c>
      <c r="C41" s="2">
        <v>860.0</v>
      </c>
    </row>
    <row r="42">
      <c r="A42" s="2" t="s">
        <v>68</v>
      </c>
      <c r="B42" s="2">
        <v>72.0</v>
      </c>
      <c r="C42" s="2">
        <v>720.0</v>
      </c>
    </row>
    <row r="43">
      <c r="A43" s="7"/>
    </row>
    <row r="44">
      <c r="A44" s="5" t="s">
        <v>69</v>
      </c>
      <c r="B44" s="5"/>
      <c r="C44" s="5"/>
    </row>
    <row r="45">
      <c r="A45" s="1" t="s">
        <v>70</v>
      </c>
      <c r="B45" s="1" t="s">
        <v>71</v>
      </c>
      <c r="C45" s="1" t="s">
        <v>72</v>
      </c>
    </row>
    <row r="46">
      <c r="A46" s="2" t="s">
        <v>73</v>
      </c>
      <c r="B46" s="3">
        <v>1427.0</v>
      </c>
      <c r="C46" s="3">
        <v>14270.0</v>
      </c>
    </row>
    <row r="47">
      <c r="A47" s="2" t="s">
        <v>74</v>
      </c>
      <c r="B47" s="3">
        <v>4120.0</v>
      </c>
      <c r="C47" s="3">
        <v>41200.0</v>
      </c>
    </row>
    <row r="48">
      <c r="A48" s="2" t="s">
        <v>75</v>
      </c>
      <c r="B48" s="3">
        <v>3280.0</v>
      </c>
      <c r="C48" s="3">
        <v>32800.0</v>
      </c>
    </row>
    <row r="49">
      <c r="A49" s="2" t="s">
        <v>76</v>
      </c>
      <c r="B49" s="3">
        <v>2558.0</v>
      </c>
      <c r="C49" s="3">
        <v>25580.0</v>
      </c>
    </row>
    <row r="50">
      <c r="A50" s="2" t="s">
        <v>77</v>
      </c>
      <c r="B50" s="3">
        <v>6969.0</v>
      </c>
      <c r="C50" s="3">
        <v>69690.0</v>
      </c>
    </row>
    <row r="52">
      <c r="A52" s="1" t="s">
        <v>19</v>
      </c>
      <c r="B52" s="1" t="s">
        <v>20</v>
      </c>
    </row>
    <row r="53">
      <c r="A53" s="2" t="s">
        <v>78</v>
      </c>
      <c r="B53" s="2" t="s">
        <v>79</v>
      </c>
    </row>
    <row r="54">
      <c r="A54" s="2" t="s">
        <v>80</v>
      </c>
      <c r="B54" s="2" t="s">
        <v>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</v>
      </c>
      <c r="B1" s="1" t="s">
        <v>83</v>
      </c>
      <c r="C1" s="1" t="s">
        <v>84</v>
      </c>
    </row>
    <row r="2">
      <c r="A2" s="2">
        <v>1.0</v>
      </c>
      <c r="B2" s="2" t="s">
        <v>85</v>
      </c>
      <c r="C2" s="2" t="s">
        <v>86</v>
      </c>
    </row>
    <row r="3">
      <c r="A3" s="2">
        <v>2.0</v>
      </c>
      <c r="B3" s="2" t="s">
        <v>87</v>
      </c>
      <c r="C3" s="2" t="s">
        <v>88</v>
      </c>
    </row>
    <row r="4">
      <c r="A4" s="2">
        <v>3.0</v>
      </c>
      <c r="B4" s="2" t="s">
        <v>89</v>
      </c>
      <c r="C4" s="2" t="s">
        <v>90</v>
      </c>
    </row>
    <row r="5">
      <c r="A5" s="2">
        <v>4.0</v>
      </c>
      <c r="B5" s="2" t="s">
        <v>91</v>
      </c>
      <c r="C5" s="2" t="s">
        <v>92</v>
      </c>
    </row>
    <row r="6">
      <c r="A6" s="2">
        <v>5.0</v>
      </c>
      <c r="B6" s="2" t="s">
        <v>93</v>
      </c>
      <c r="C6" s="2" t="s">
        <v>94</v>
      </c>
    </row>
    <row r="7">
      <c r="A7" s="2">
        <v>6.0</v>
      </c>
      <c r="B7" s="2" t="s">
        <v>95</v>
      </c>
      <c r="C7" s="2" t="s">
        <v>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7.75"/>
  </cols>
  <sheetData>
    <row r="1">
      <c r="A1" s="1" t="s">
        <v>83</v>
      </c>
      <c r="B1" s="1" t="s">
        <v>97</v>
      </c>
      <c r="C1" s="1" t="s">
        <v>98</v>
      </c>
      <c r="D1" s="1" t="s">
        <v>99</v>
      </c>
      <c r="E1" s="1" t="s">
        <v>100</v>
      </c>
    </row>
    <row r="2">
      <c r="A2" s="2" t="s">
        <v>85</v>
      </c>
      <c r="B2" s="2" t="s">
        <v>101</v>
      </c>
      <c r="C2" s="2">
        <v>18.0</v>
      </c>
      <c r="D2" s="2">
        <v>4.0</v>
      </c>
      <c r="E2" s="2">
        <v>800.0</v>
      </c>
    </row>
    <row r="3">
      <c r="A3" s="2" t="s">
        <v>87</v>
      </c>
      <c r="B3" s="2" t="s">
        <v>101</v>
      </c>
      <c r="C3" s="2">
        <v>20.0</v>
      </c>
      <c r="D3" s="2">
        <v>4.0</v>
      </c>
      <c r="E3" s="2">
        <v>720.0</v>
      </c>
    </row>
    <row r="4">
      <c r="A4" s="2" t="s">
        <v>89</v>
      </c>
      <c r="B4" s="2" t="s">
        <v>101</v>
      </c>
      <c r="C4" s="2">
        <v>75.0</v>
      </c>
      <c r="D4" s="2">
        <v>1.0</v>
      </c>
      <c r="E4" s="2">
        <v>48.0</v>
      </c>
    </row>
    <row r="5">
      <c r="A5" s="2" t="s">
        <v>91</v>
      </c>
      <c r="B5" s="2" t="s">
        <v>101</v>
      </c>
      <c r="C5" s="2">
        <v>24.0</v>
      </c>
      <c r="D5" s="2">
        <v>5.0</v>
      </c>
      <c r="E5" s="2">
        <v>750.0</v>
      </c>
    </row>
    <row r="6">
      <c r="A6" s="2" t="s">
        <v>93</v>
      </c>
      <c r="B6" s="2" t="s">
        <v>101</v>
      </c>
      <c r="C6" s="2">
        <v>15.0</v>
      </c>
      <c r="D6" s="2">
        <v>3.0</v>
      </c>
      <c r="E6" s="2">
        <v>720.0</v>
      </c>
    </row>
    <row r="7">
      <c r="A7" s="2" t="s">
        <v>95</v>
      </c>
      <c r="B7" s="2" t="s">
        <v>101</v>
      </c>
      <c r="C7" s="2">
        <v>16.0</v>
      </c>
      <c r="D7" s="2">
        <v>3.0</v>
      </c>
      <c r="E7" s="2">
        <v>675.0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>
      <c r="A2" s="2" t="s">
        <v>107</v>
      </c>
      <c r="B2" s="2">
        <v>4.0</v>
      </c>
      <c r="C2" s="2">
        <v>4.0</v>
      </c>
      <c r="D2" s="2" t="s">
        <v>108</v>
      </c>
      <c r="E2" s="2" t="s">
        <v>109</v>
      </c>
    </row>
    <row r="3">
      <c r="A3" s="2" t="s">
        <v>110</v>
      </c>
      <c r="B3" s="2">
        <v>4.0</v>
      </c>
      <c r="C3" s="2">
        <v>4.0</v>
      </c>
      <c r="D3" s="2" t="s">
        <v>111</v>
      </c>
      <c r="E3" s="2" t="s">
        <v>112</v>
      </c>
    </row>
    <row r="4">
      <c r="A4" s="2" t="s">
        <v>113</v>
      </c>
      <c r="B4" s="2">
        <v>5.0</v>
      </c>
      <c r="C4" s="2">
        <v>5.0</v>
      </c>
      <c r="D4" s="2" t="s">
        <v>108</v>
      </c>
      <c r="E4" s="2" t="s">
        <v>109</v>
      </c>
    </row>
    <row r="5">
      <c r="A5" s="2" t="s">
        <v>114</v>
      </c>
      <c r="B5" s="2">
        <v>3.0</v>
      </c>
      <c r="C5" s="2">
        <v>3.0</v>
      </c>
      <c r="D5" s="2" t="s">
        <v>108</v>
      </c>
      <c r="E5" s="2" t="s">
        <v>109</v>
      </c>
    </row>
    <row r="7">
      <c r="A7" s="7" t="s">
        <v>115</v>
      </c>
    </row>
    <row r="8">
      <c r="A8" s="1" t="s">
        <v>0</v>
      </c>
      <c r="B8" s="1" t="s">
        <v>1</v>
      </c>
    </row>
    <row r="9">
      <c r="A9" s="2" t="s">
        <v>116</v>
      </c>
      <c r="B9" s="2">
        <v>12.0</v>
      </c>
    </row>
    <row r="10">
      <c r="A10" s="2" t="s">
        <v>117</v>
      </c>
      <c r="B10" s="2">
        <v>0.75</v>
      </c>
    </row>
    <row r="11">
      <c r="A11" s="2" t="s">
        <v>118</v>
      </c>
      <c r="B11" s="2">
        <v>11.25</v>
      </c>
    </row>
    <row r="13">
      <c r="A13" s="1" t="s">
        <v>19</v>
      </c>
      <c r="B13" s="1" t="s">
        <v>20</v>
      </c>
    </row>
    <row r="14">
      <c r="A14" s="2" t="s">
        <v>119</v>
      </c>
      <c r="B14" s="2" t="s">
        <v>120</v>
      </c>
    </row>
    <row r="15">
      <c r="A15" s="2" t="s">
        <v>121</v>
      </c>
      <c r="B15" s="2" t="s">
        <v>122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75"/>
  </cols>
  <sheetData>
    <row r="1">
      <c r="A1" s="1" t="s">
        <v>0</v>
      </c>
      <c r="B1" s="1" t="s">
        <v>1</v>
      </c>
    </row>
    <row r="2">
      <c r="A2" s="2" t="s">
        <v>123</v>
      </c>
      <c r="B2" s="4">
        <v>0.08</v>
      </c>
    </row>
    <row r="3">
      <c r="A3" s="2" t="s">
        <v>124</v>
      </c>
      <c r="B3" s="2" t="s">
        <v>125</v>
      </c>
    </row>
    <row r="4">
      <c r="A4" s="2" t="s">
        <v>126</v>
      </c>
      <c r="B4" s="4">
        <v>0.25</v>
      </c>
    </row>
    <row r="5">
      <c r="A5" s="2" t="s">
        <v>127</v>
      </c>
      <c r="B5" s="2" t="s">
        <v>128</v>
      </c>
    </row>
    <row r="6">
      <c r="A6" s="2" t="s">
        <v>129</v>
      </c>
      <c r="B6" s="2" t="s">
        <v>130</v>
      </c>
    </row>
    <row r="8">
      <c r="A8" s="7" t="s">
        <v>131</v>
      </c>
    </row>
    <row r="9">
      <c r="A9" s="1" t="s">
        <v>132</v>
      </c>
      <c r="B9" s="1" t="s">
        <v>1</v>
      </c>
    </row>
    <row r="10">
      <c r="A10" s="2" t="s">
        <v>133</v>
      </c>
      <c r="B10" s="2" t="s">
        <v>134</v>
      </c>
    </row>
    <row r="11">
      <c r="A11" s="2" t="s">
        <v>135</v>
      </c>
      <c r="B11" s="2">
        <v>2.0</v>
      </c>
    </row>
    <row r="12">
      <c r="A12" s="2" t="s">
        <v>136</v>
      </c>
      <c r="B12" s="2">
        <v>1.08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137</v>
      </c>
      <c r="B1" s="1" t="s">
        <v>138</v>
      </c>
      <c r="C1" s="1" t="s">
        <v>75</v>
      </c>
      <c r="D1" s="1" t="s">
        <v>139</v>
      </c>
    </row>
    <row r="2">
      <c r="A2" s="2" t="s">
        <v>140</v>
      </c>
      <c r="B2" s="2">
        <v>4.0</v>
      </c>
      <c r="C2" s="2">
        <v>4.0</v>
      </c>
      <c r="D2" s="2">
        <v>3.0</v>
      </c>
    </row>
    <row r="3">
      <c r="A3" s="2" t="s">
        <v>141</v>
      </c>
      <c r="B3" s="2">
        <v>8.0</v>
      </c>
      <c r="C3" s="2">
        <v>8.0</v>
      </c>
      <c r="D3" s="2">
        <v>6.0</v>
      </c>
    </row>
    <row r="4">
      <c r="A4" s="2" t="s">
        <v>142</v>
      </c>
      <c r="B4" s="2">
        <v>1.0</v>
      </c>
      <c r="C4" s="2">
        <v>1.0</v>
      </c>
      <c r="D4" s="2">
        <v>1.0</v>
      </c>
    </row>
    <row r="5">
      <c r="A5" s="2" t="s">
        <v>143</v>
      </c>
      <c r="B5" s="2">
        <v>5.0</v>
      </c>
      <c r="C5" s="2">
        <v>5.0</v>
      </c>
      <c r="D5" s="2">
        <v>4.0</v>
      </c>
    </row>
    <row r="6">
      <c r="A6" s="2" t="s">
        <v>144</v>
      </c>
      <c r="B6" s="2">
        <v>3.0</v>
      </c>
      <c r="C6" s="2">
        <v>3.0</v>
      </c>
      <c r="D6" s="2">
        <v>3.0</v>
      </c>
    </row>
    <row r="7">
      <c r="A7" s="2" t="s">
        <v>145</v>
      </c>
      <c r="B7" s="2">
        <v>2.0</v>
      </c>
      <c r="C7" s="2">
        <v>2.0</v>
      </c>
      <c r="D7" s="2">
        <v>2.0</v>
      </c>
    </row>
    <row r="9">
      <c r="A9" s="1" t="s">
        <v>19</v>
      </c>
      <c r="B9" s="1" t="s">
        <v>20</v>
      </c>
    </row>
    <row r="10">
      <c r="A10" s="2" t="s">
        <v>146</v>
      </c>
      <c r="B10" s="2" t="s">
        <v>147</v>
      </c>
    </row>
    <row r="11">
      <c r="A11" s="2" t="s">
        <v>148</v>
      </c>
      <c r="B11" s="2" t="s">
        <v>149</v>
      </c>
    </row>
    <row r="13">
      <c r="A13" s="7" t="s">
        <v>150</v>
      </c>
    </row>
    <row r="14">
      <c r="A14" s="1" t="s">
        <v>70</v>
      </c>
      <c r="B14" s="1" t="s">
        <v>151</v>
      </c>
    </row>
    <row r="15">
      <c r="A15" s="2" t="s">
        <v>152</v>
      </c>
      <c r="B15" s="2">
        <v>5.0</v>
      </c>
    </row>
    <row r="16">
      <c r="A16" s="2" t="s">
        <v>153</v>
      </c>
      <c r="B16" s="2">
        <v>3.0</v>
      </c>
    </row>
    <row r="17">
      <c r="A17" s="2" t="s">
        <v>139</v>
      </c>
      <c r="B17" s="2">
        <v>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>
      <c r="A2" s="2" t="s">
        <v>164</v>
      </c>
      <c r="B2" s="8">
        <v>0.7111111111111111</v>
      </c>
      <c r="C2" s="8">
        <v>0.7131944444444445</v>
      </c>
      <c r="D2" s="8">
        <v>0.7138888888888889</v>
      </c>
      <c r="E2" s="2" t="s">
        <v>165</v>
      </c>
      <c r="F2" s="9"/>
      <c r="G2" s="8">
        <v>0.7159722222222222</v>
      </c>
      <c r="H2" s="8">
        <v>0.7173611111111111</v>
      </c>
      <c r="I2" s="8">
        <v>0.7222222222222222</v>
      </c>
      <c r="J2" s="2" t="s">
        <v>165</v>
      </c>
    </row>
    <row r="3">
      <c r="A3" s="2" t="s">
        <v>166</v>
      </c>
      <c r="B3" s="8">
        <v>0.7118055555555556</v>
      </c>
      <c r="C3" s="8">
        <v>0.7145833333333333</v>
      </c>
      <c r="D3" s="8">
        <v>0.7152777777777778</v>
      </c>
      <c r="E3" s="2" t="s">
        <v>165</v>
      </c>
      <c r="F3" s="9"/>
      <c r="G3" s="8">
        <v>0.7180555555555556</v>
      </c>
      <c r="H3" s="8">
        <v>0.7194444444444444</v>
      </c>
      <c r="I3" s="8">
        <v>0.725</v>
      </c>
      <c r="J3" s="2" t="s">
        <v>165</v>
      </c>
    </row>
    <row r="4">
      <c r="A4" s="2" t="s">
        <v>167</v>
      </c>
      <c r="B4" s="8">
        <v>0.7125</v>
      </c>
      <c r="C4" s="8">
        <v>0.7152777777777778</v>
      </c>
      <c r="D4" s="8">
        <v>0.7159722222222222</v>
      </c>
      <c r="E4" s="2" t="s">
        <v>130</v>
      </c>
      <c r="F4" s="8">
        <v>0.7194444444444444</v>
      </c>
      <c r="G4" s="8">
        <v>0.7222222222222222</v>
      </c>
      <c r="H4" s="8">
        <v>0.7236111111111111</v>
      </c>
      <c r="I4" s="8">
        <v>0.7298611111111111</v>
      </c>
      <c r="J4" s="2" t="s">
        <v>165</v>
      </c>
    </row>
    <row r="5">
      <c r="A5" s="2" t="s">
        <v>168</v>
      </c>
      <c r="B5" s="8">
        <v>0.7138888888888889</v>
      </c>
      <c r="C5" s="8">
        <v>0.7173611111111111</v>
      </c>
      <c r="D5" s="8">
        <v>0.7180555555555556</v>
      </c>
      <c r="E5" s="2" t="s">
        <v>165</v>
      </c>
      <c r="F5" s="9"/>
      <c r="G5" s="8">
        <v>0.7208333333333333</v>
      </c>
      <c r="H5" s="8">
        <v>0.7222222222222222</v>
      </c>
      <c r="I5" s="8">
        <v>0.7284722222222222</v>
      </c>
      <c r="J5" s="2" t="s">
        <v>165</v>
      </c>
    </row>
    <row r="6">
      <c r="A6" s="2" t="s">
        <v>169</v>
      </c>
      <c r="B6" s="8">
        <v>0.7152777777777778</v>
      </c>
      <c r="C6" s="8">
        <v>0.7194444444444444</v>
      </c>
      <c r="D6" s="8">
        <v>0.7201388888888889</v>
      </c>
      <c r="E6" s="2" t="s">
        <v>165</v>
      </c>
      <c r="F6" s="9"/>
      <c r="G6" s="8">
        <v>0.7229166666666667</v>
      </c>
      <c r="H6" s="8">
        <v>0.7243055555555555</v>
      </c>
      <c r="I6" s="8">
        <v>0.7305555555555555</v>
      </c>
      <c r="J6" s="2" t="s">
        <v>165</v>
      </c>
    </row>
    <row r="7">
      <c r="A7" s="2" t="s">
        <v>170</v>
      </c>
      <c r="B7" s="8">
        <v>0.7159722222222222</v>
      </c>
      <c r="C7" s="8">
        <v>0.7208333333333333</v>
      </c>
      <c r="D7" s="8">
        <v>0.7215277777777778</v>
      </c>
      <c r="E7" s="2" t="s">
        <v>130</v>
      </c>
      <c r="F7" s="8">
        <v>0.7256944444444444</v>
      </c>
      <c r="G7" s="8">
        <v>0.7284722222222222</v>
      </c>
      <c r="H7" s="8">
        <v>0.7298611111111111</v>
      </c>
      <c r="I7" s="8">
        <v>0.7368055555555556</v>
      </c>
      <c r="J7" s="2" t="s">
        <v>165</v>
      </c>
    </row>
    <row r="8">
      <c r="A8" s="2" t="s">
        <v>171</v>
      </c>
      <c r="B8" s="8">
        <v>0.7173611111111111</v>
      </c>
      <c r="C8" s="8">
        <v>0.7229166666666667</v>
      </c>
      <c r="D8" s="8">
        <v>0.7236111111111111</v>
      </c>
      <c r="E8" s="2" t="s">
        <v>165</v>
      </c>
      <c r="F8" s="9"/>
      <c r="G8" s="8">
        <v>0.7263888888888889</v>
      </c>
      <c r="H8" s="8">
        <v>0.7277777777777777</v>
      </c>
      <c r="I8" s="8">
        <v>0.7340277777777777</v>
      </c>
      <c r="J8" s="2" t="s">
        <v>165</v>
      </c>
    </row>
    <row r="9">
      <c r="A9" s="2" t="s">
        <v>172</v>
      </c>
      <c r="B9" s="8">
        <v>0.71875</v>
      </c>
      <c r="C9" s="8">
        <v>0.725</v>
      </c>
      <c r="D9" s="8">
        <v>0.7256944444444444</v>
      </c>
      <c r="E9" s="2" t="s">
        <v>165</v>
      </c>
      <c r="F9" s="9"/>
      <c r="G9" s="8">
        <v>0.7291666666666666</v>
      </c>
      <c r="H9" s="8">
        <v>0.7305555555555555</v>
      </c>
      <c r="I9" s="8">
        <v>0.7368055555555556</v>
      </c>
      <c r="J9" s="2" t="s">
        <v>165</v>
      </c>
    </row>
    <row r="10">
      <c r="A10" s="2" t="s">
        <v>173</v>
      </c>
      <c r="B10" s="8">
        <v>0.7194444444444444</v>
      </c>
      <c r="C10" s="8">
        <v>0.7263888888888889</v>
      </c>
      <c r="D10" s="8">
        <v>0.7270833333333333</v>
      </c>
      <c r="E10" s="2" t="s">
        <v>130</v>
      </c>
      <c r="F10" s="8">
        <v>0.7319444444444444</v>
      </c>
      <c r="G10" s="8">
        <v>0.7354166666666667</v>
      </c>
      <c r="H10" s="8">
        <v>0.7368055555555556</v>
      </c>
      <c r="I10" s="8">
        <v>0.7444444444444445</v>
      </c>
      <c r="J10" s="2" t="s">
        <v>165</v>
      </c>
    </row>
    <row r="11">
      <c r="A11" s="2" t="s">
        <v>174</v>
      </c>
      <c r="B11" s="8">
        <v>0.7208333333333333</v>
      </c>
      <c r="C11" s="8">
        <v>0.7284722222222222</v>
      </c>
      <c r="D11" s="8">
        <v>0.7291666666666666</v>
      </c>
      <c r="E11" s="2" t="s">
        <v>165</v>
      </c>
      <c r="F11" s="9"/>
      <c r="G11" s="8">
        <v>0.7326388888888888</v>
      </c>
      <c r="H11" s="8">
        <v>0.7340277777777777</v>
      </c>
      <c r="I11" s="8">
        <v>0.7409722222222223</v>
      </c>
      <c r="J11" s="2" t="s">
        <v>165</v>
      </c>
    </row>
    <row r="12">
      <c r="A12" s="2" t="s">
        <v>175</v>
      </c>
      <c r="B12" s="8">
        <v>0.7229166666666667</v>
      </c>
      <c r="C12" s="8">
        <v>0.7319444444444444</v>
      </c>
      <c r="D12" s="8">
        <v>0.7326388888888888</v>
      </c>
      <c r="E12" s="2" t="s">
        <v>165</v>
      </c>
      <c r="F12" s="9"/>
      <c r="G12" s="8">
        <v>0.7361111111111112</v>
      </c>
      <c r="H12" s="8">
        <v>0.7375</v>
      </c>
      <c r="I12" s="8">
        <v>0.7451388888888889</v>
      </c>
      <c r="J12" s="2" t="s">
        <v>165</v>
      </c>
    </row>
    <row r="13">
      <c r="A13" s="2" t="s">
        <v>176</v>
      </c>
      <c r="B13" s="8">
        <v>0.725</v>
      </c>
      <c r="C13" s="8">
        <v>0.7347222222222223</v>
      </c>
      <c r="D13" s="8">
        <v>0.7354166666666667</v>
      </c>
      <c r="E13" s="2" t="s">
        <v>130</v>
      </c>
      <c r="F13" s="8">
        <v>0.7402777777777778</v>
      </c>
      <c r="G13" s="8">
        <v>0.7430555555555556</v>
      </c>
      <c r="H13" s="8">
        <v>0.7444444444444445</v>
      </c>
      <c r="I13" s="8">
        <v>0.7520833333333333</v>
      </c>
      <c r="J13" s="2" t="s">
        <v>165</v>
      </c>
    </row>
    <row r="14">
      <c r="A14" s="2" t="s">
        <v>177</v>
      </c>
      <c r="B14" s="8">
        <v>0.7277777777777777</v>
      </c>
      <c r="C14" s="8">
        <v>0.7381944444444445</v>
      </c>
      <c r="D14" s="8">
        <v>0.7388888888888889</v>
      </c>
      <c r="E14" s="2" t="s">
        <v>165</v>
      </c>
      <c r="F14" s="9"/>
      <c r="G14" s="8">
        <v>0.7423611111111111</v>
      </c>
      <c r="H14" s="8">
        <v>0.74375</v>
      </c>
      <c r="I14" s="8">
        <v>0.7513888888888889</v>
      </c>
      <c r="J14" s="2" t="s">
        <v>165</v>
      </c>
    </row>
    <row r="15">
      <c r="A15" s="2" t="s">
        <v>178</v>
      </c>
      <c r="B15" s="8">
        <v>0.7298611111111111</v>
      </c>
      <c r="C15" s="8">
        <v>0.7409722222222223</v>
      </c>
      <c r="D15" s="8">
        <v>0.7416666666666667</v>
      </c>
      <c r="E15" s="2" t="s">
        <v>165</v>
      </c>
      <c r="F15" s="9"/>
      <c r="G15" s="8">
        <v>0.7458333333333333</v>
      </c>
      <c r="H15" s="8">
        <v>0.7472222222222222</v>
      </c>
      <c r="I15" s="8">
        <v>0.7548611111111111</v>
      </c>
      <c r="J15" s="2" t="s">
        <v>165</v>
      </c>
    </row>
    <row r="16">
      <c r="A16" s="2" t="s">
        <v>179</v>
      </c>
      <c r="B16" s="8">
        <v>0.7326388888888888</v>
      </c>
      <c r="C16" s="8">
        <v>0.7444444444444445</v>
      </c>
      <c r="D16" s="8">
        <v>0.7451388888888889</v>
      </c>
      <c r="E16" s="2" t="s">
        <v>130</v>
      </c>
      <c r="F16" s="8">
        <v>0.7506944444444444</v>
      </c>
      <c r="G16" s="8">
        <v>0.7548611111111111</v>
      </c>
      <c r="H16" s="8">
        <v>0.75625</v>
      </c>
      <c r="I16" s="8">
        <v>0.7638888888888888</v>
      </c>
      <c r="J16" s="2" t="s">
        <v>165</v>
      </c>
    </row>
    <row r="17">
      <c r="A17" s="2" t="s">
        <v>180</v>
      </c>
      <c r="B17" s="8">
        <v>0.7354166666666667</v>
      </c>
      <c r="C17" s="8">
        <v>0.7486111111111111</v>
      </c>
      <c r="D17" s="8">
        <v>0.7493055555555556</v>
      </c>
      <c r="E17" s="2" t="s">
        <v>165</v>
      </c>
      <c r="F17" s="9"/>
      <c r="G17" s="8">
        <v>0.7527777777777778</v>
      </c>
      <c r="H17" s="8">
        <v>0.7541666666666667</v>
      </c>
      <c r="I17" s="8">
        <v>0.7625</v>
      </c>
      <c r="J17" s="2" t="s">
        <v>165</v>
      </c>
    </row>
    <row r="18">
      <c r="A18" s="2" t="s">
        <v>181</v>
      </c>
      <c r="B18" s="8">
        <v>0.7375</v>
      </c>
      <c r="C18" s="8">
        <v>0.7520833333333333</v>
      </c>
      <c r="D18" s="8">
        <v>0.7527777777777778</v>
      </c>
      <c r="E18" s="2" t="s">
        <v>165</v>
      </c>
      <c r="F18" s="9"/>
      <c r="G18" s="8">
        <v>0.7569444444444444</v>
      </c>
      <c r="H18" s="8">
        <v>0.7583333333333333</v>
      </c>
      <c r="I18" s="8">
        <v>0.7666666666666667</v>
      </c>
      <c r="J18" s="2" t="s">
        <v>165</v>
      </c>
    </row>
    <row r="19">
      <c r="A19" s="2" t="s">
        <v>182</v>
      </c>
      <c r="B19" s="8">
        <v>0.7395833333333334</v>
      </c>
      <c r="C19" s="8">
        <v>0.7555555555555555</v>
      </c>
      <c r="D19" s="8">
        <v>0.75625</v>
      </c>
      <c r="E19" s="2" t="s">
        <v>130</v>
      </c>
      <c r="F19" s="8">
        <v>0.7625</v>
      </c>
      <c r="G19" s="8">
        <v>0.7659722222222223</v>
      </c>
      <c r="H19" s="8">
        <v>0.7673611111111112</v>
      </c>
      <c r="I19" s="8">
        <v>0.7763888888888889</v>
      </c>
      <c r="J19" s="2" t="s">
        <v>165</v>
      </c>
    </row>
    <row r="20">
      <c r="A20" s="2" t="s">
        <v>183</v>
      </c>
      <c r="B20" s="8">
        <v>0.7423611111111111</v>
      </c>
      <c r="C20" s="8">
        <v>0.7597222222222222</v>
      </c>
      <c r="D20" s="8">
        <v>0.7604166666666666</v>
      </c>
      <c r="E20" s="2" t="s">
        <v>165</v>
      </c>
      <c r="F20" s="9"/>
      <c r="G20" s="8">
        <v>0.7645833333333333</v>
      </c>
      <c r="H20" s="8">
        <v>0.7659722222222223</v>
      </c>
      <c r="I20" s="8">
        <v>0.775</v>
      </c>
      <c r="J20" s="2" t="s">
        <v>165</v>
      </c>
    </row>
    <row r="21">
      <c r="A21" s="2" t="s">
        <v>184</v>
      </c>
      <c r="B21" s="8">
        <v>0.7444444444444445</v>
      </c>
      <c r="C21" s="8">
        <v>0.7631944444444444</v>
      </c>
      <c r="D21" s="8">
        <v>0.7638888888888888</v>
      </c>
      <c r="E21" s="2" t="s">
        <v>165</v>
      </c>
      <c r="F21" s="9"/>
      <c r="G21" s="8">
        <v>0.76875</v>
      </c>
      <c r="H21" s="8">
        <v>0.7701388888888889</v>
      </c>
      <c r="I21" s="8">
        <v>0.7791666666666667</v>
      </c>
      <c r="J21" s="2" t="s">
        <v>165</v>
      </c>
    </row>
    <row r="22">
      <c r="A22" s="2" t="s">
        <v>185</v>
      </c>
      <c r="B22" s="8">
        <v>0.7472222222222222</v>
      </c>
      <c r="C22" s="8">
        <v>0.7680555555555556</v>
      </c>
      <c r="D22" s="8">
        <v>0.76875</v>
      </c>
      <c r="E22" s="2" t="s">
        <v>130</v>
      </c>
      <c r="F22" s="8">
        <v>0.7756944444444445</v>
      </c>
      <c r="G22" s="8">
        <v>0.7798611111111111</v>
      </c>
      <c r="H22" s="8">
        <v>0.78125</v>
      </c>
      <c r="I22" s="8">
        <v>0.7902777777777777</v>
      </c>
      <c r="J22" s="2" t="s">
        <v>165</v>
      </c>
    </row>
    <row r="23">
      <c r="A23" s="2" t="s">
        <v>186</v>
      </c>
      <c r="B23" s="8">
        <v>0.75</v>
      </c>
      <c r="C23" s="8">
        <v>0.7729166666666667</v>
      </c>
      <c r="D23" s="8">
        <v>0.7736111111111111</v>
      </c>
      <c r="E23" s="2" t="s">
        <v>165</v>
      </c>
      <c r="F23" s="9"/>
      <c r="G23" s="8">
        <v>0.7777777777777778</v>
      </c>
      <c r="H23" s="8">
        <v>0.7791666666666667</v>
      </c>
      <c r="I23" s="8">
        <v>0.7888888888888889</v>
      </c>
      <c r="J23" s="2" t="s">
        <v>165</v>
      </c>
    </row>
    <row r="24">
      <c r="A24" s="2" t="s">
        <v>187</v>
      </c>
      <c r="B24" s="8">
        <v>0.7520833333333333</v>
      </c>
      <c r="C24" s="8">
        <v>0.7770833333333333</v>
      </c>
      <c r="D24" s="8">
        <v>0.7777777777777778</v>
      </c>
      <c r="E24" s="2" t="s">
        <v>165</v>
      </c>
      <c r="F24" s="9"/>
      <c r="G24" s="8">
        <v>0.7826388888888889</v>
      </c>
      <c r="H24" s="8">
        <v>0.7840277777777778</v>
      </c>
      <c r="I24" s="8">
        <v>0.79375</v>
      </c>
      <c r="J24" s="2" t="s">
        <v>165</v>
      </c>
    </row>
    <row r="25">
      <c r="A25" s="2" t="s">
        <v>188</v>
      </c>
      <c r="B25" s="8">
        <v>0.7548611111111111</v>
      </c>
      <c r="C25" s="8">
        <v>0.7819444444444444</v>
      </c>
      <c r="D25" s="8">
        <v>0.7826388888888889</v>
      </c>
      <c r="E25" s="2" t="s">
        <v>130</v>
      </c>
      <c r="F25" s="8">
        <v>0.7902777777777777</v>
      </c>
      <c r="G25" s="8">
        <v>0.7951388888888888</v>
      </c>
      <c r="H25" s="8">
        <v>0.7965277777777777</v>
      </c>
      <c r="I25" s="8">
        <v>0.8069444444444445</v>
      </c>
      <c r="J25" s="2" t="s">
        <v>165</v>
      </c>
    </row>
    <row r="26">
      <c r="A26" s="2" t="s">
        <v>189</v>
      </c>
      <c r="B26" s="8">
        <v>0.7569444444444444</v>
      </c>
      <c r="C26" s="8">
        <v>0.7861111111111111</v>
      </c>
      <c r="D26" s="8">
        <v>0.7868055555555555</v>
      </c>
      <c r="E26" s="2" t="s">
        <v>165</v>
      </c>
      <c r="F26" s="9"/>
      <c r="G26" s="8">
        <v>0.7916666666666666</v>
      </c>
      <c r="H26" s="8">
        <v>0.7930555555555555</v>
      </c>
      <c r="I26" s="8">
        <v>0.8034722222222223</v>
      </c>
      <c r="J26" s="2" t="s">
        <v>165</v>
      </c>
    </row>
    <row r="27">
      <c r="A27" s="2" t="s">
        <v>190</v>
      </c>
      <c r="B27" s="8">
        <v>0.7597222222222222</v>
      </c>
      <c r="C27" s="8">
        <v>0.7909722222222222</v>
      </c>
      <c r="D27" s="8">
        <v>0.7916666666666666</v>
      </c>
      <c r="E27" s="2" t="s">
        <v>165</v>
      </c>
      <c r="F27" s="9"/>
      <c r="G27" s="8">
        <v>0.7972222222222223</v>
      </c>
      <c r="H27" s="8">
        <v>0.7986111111111112</v>
      </c>
      <c r="I27" s="8">
        <v>0.8090277777777778</v>
      </c>
      <c r="J27" s="2" t="s">
        <v>165</v>
      </c>
    </row>
    <row r="28">
      <c r="A28" s="2" t="s">
        <v>191</v>
      </c>
      <c r="B28" s="8">
        <v>0.7625</v>
      </c>
      <c r="C28" s="8">
        <v>0.7965277777777777</v>
      </c>
      <c r="D28" s="8">
        <v>0.7972222222222223</v>
      </c>
      <c r="E28" s="2" t="s">
        <v>130</v>
      </c>
      <c r="F28" s="8">
        <v>0.8055555555555556</v>
      </c>
      <c r="G28" s="8">
        <v>0.8111111111111111</v>
      </c>
      <c r="H28" s="8">
        <v>0.8131944444444444</v>
      </c>
      <c r="I28" s="8">
        <v>0.8243055555555555</v>
      </c>
      <c r="J28" s="2" t="s">
        <v>165</v>
      </c>
    </row>
    <row r="29">
      <c r="A29" s="2" t="s">
        <v>192</v>
      </c>
      <c r="B29" s="8">
        <v>0.7645833333333333</v>
      </c>
      <c r="C29" s="8">
        <v>0.8006944444444445</v>
      </c>
      <c r="D29" s="8">
        <v>0.8013888888888889</v>
      </c>
      <c r="E29" s="2" t="s">
        <v>165</v>
      </c>
      <c r="F29" s="9"/>
      <c r="G29" s="8">
        <v>0.8076388888888889</v>
      </c>
      <c r="H29" s="8">
        <v>0.8097222222222222</v>
      </c>
      <c r="I29" s="8">
        <v>0.8208333333333333</v>
      </c>
      <c r="J29" s="2" t="s">
        <v>165</v>
      </c>
    </row>
    <row r="30">
      <c r="A30" s="2" t="s">
        <v>193</v>
      </c>
      <c r="B30" s="8">
        <v>0.7673611111111112</v>
      </c>
      <c r="C30" s="8">
        <v>0.8055555555555556</v>
      </c>
      <c r="D30" s="8">
        <v>0.80625</v>
      </c>
      <c r="E30" s="2" t="s">
        <v>165</v>
      </c>
      <c r="F30" s="9"/>
      <c r="G30" s="8">
        <v>0.8131944444444444</v>
      </c>
      <c r="H30" s="8">
        <v>0.8152777777777778</v>
      </c>
      <c r="I30" s="8">
        <v>0.8263888888888888</v>
      </c>
      <c r="J30" s="2" t="s">
        <v>165</v>
      </c>
    </row>
    <row r="31">
      <c r="A31" s="2" t="s">
        <v>194</v>
      </c>
      <c r="B31" s="8">
        <v>0.7694444444444445</v>
      </c>
      <c r="C31" s="8">
        <v>0.8111111111111111</v>
      </c>
      <c r="D31" s="8">
        <v>0.8118055555555556</v>
      </c>
      <c r="E31" s="2" t="s">
        <v>130</v>
      </c>
      <c r="F31" s="8">
        <v>0.8208333333333333</v>
      </c>
      <c r="G31" s="8">
        <v>0.8270833333333333</v>
      </c>
      <c r="H31" s="8">
        <v>0.8291666666666667</v>
      </c>
      <c r="I31" s="8">
        <v>0.8409722222222222</v>
      </c>
      <c r="J31" s="2" t="s">
        <v>130</v>
      </c>
    </row>
    <row r="32">
      <c r="A32" s="2" t="s">
        <v>195</v>
      </c>
      <c r="B32" s="8">
        <v>0.7715277777777778</v>
      </c>
      <c r="C32" s="8">
        <v>0.8159722222222222</v>
      </c>
      <c r="D32" s="8">
        <v>0.8166666666666667</v>
      </c>
      <c r="E32" s="2" t="s">
        <v>165</v>
      </c>
      <c r="F32" s="9"/>
      <c r="G32" s="8">
        <v>0.8236111111111111</v>
      </c>
      <c r="H32" s="8">
        <v>0.8256944444444444</v>
      </c>
      <c r="I32" s="8">
        <v>0.8375</v>
      </c>
      <c r="J32" s="2" t="s">
        <v>130</v>
      </c>
    </row>
    <row r="33">
      <c r="A33" s="2" t="s">
        <v>196</v>
      </c>
      <c r="B33" s="8">
        <v>0.7743055555555556</v>
      </c>
      <c r="C33" s="8">
        <v>0.8215277777777777</v>
      </c>
      <c r="D33" s="8">
        <v>0.8222222222222222</v>
      </c>
      <c r="E33" s="2" t="s">
        <v>165</v>
      </c>
      <c r="F33" s="9"/>
      <c r="G33" s="8">
        <v>0.8291666666666667</v>
      </c>
      <c r="H33" s="8">
        <v>0.83125</v>
      </c>
      <c r="I33" s="8">
        <v>0.8430555555555556</v>
      </c>
      <c r="J33" s="2" t="s">
        <v>130</v>
      </c>
    </row>
    <row r="34">
      <c r="A34" s="2" t="s">
        <v>197</v>
      </c>
      <c r="B34" s="8">
        <v>0.7770833333333333</v>
      </c>
      <c r="C34" s="8">
        <v>0.8270833333333333</v>
      </c>
      <c r="D34" s="8">
        <v>0.8277777777777777</v>
      </c>
      <c r="E34" s="2" t="s">
        <v>130</v>
      </c>
      <c r="F34" s="8">
        <v>0.8375</v>
      </c>
      <c r="G34" s="8">
        <v>0.84375</v>
      </c>
      <c r="H34" s="8">
        <v>0.8458333333333333</v>
      </c>
      <c r="I34" s="8">
        <v>0.8583333333333333</v>
      </c>
      <c r="J34" s="2" t="s">
        <v>130</v>
      </c>
    </row>
    <row r="35">
      <c r="A35" s="2" t="s">
        <v>198</v>
      </c>
      <c r="B35" s="8">
        <v>0.7791666666666667</v>
      </c>
      <c r="C35" s="8">
        <v>0.8319444444444445</v>
      </c>
      <c r="D35" s="8">
        <v>0.8326388888888889</v>
      </c>
      <c r="E35" s="2" t="s">
        <v>165</v>
      </c>
      <c r="F35" s="9"/>
      <c r="G35" s="8">
        <v>0.8388888888888889</v>
      </c>
      <c r="H35" s="8">
        <v>0.8409722222222222</v>
      </c>
      <c r="I35" s="8">
        <v>0.8527777777777777</v>
      </c>
      <c r="J35" s="2" t="s">
        <v>130</v>
      </c>
    </row>
    <row r="36">
      <c r="A36" s="2" t="s">
        <v>199</v>
      </c>
      <c r="B36" s="8">
        <v>0.78125</v>
      </c>
      <c r="C36" s="8">
        <v>0.8361111111111111</v>
      </c>
      <c r="D36" s="8">
        <v>0.8368055555555556</v>
      </c>
      <c r="E36" s="2" t="s">
        <v>165</v>
      </c>
      <c r="F36" s="9"/>
      <c r="G36" s="8">
        <v>0.84375</v>
      </c>
      <c r="H36" s="8">
        <v>0.8458333333333333</v>
      </c>
      <c r="I36" s="8">
        <v>0.8576388888888888</v>
      </c>
      <c r="J36" s="2" t="s">
        <v>130</v>
      </c>
    </row>
    <row r="37">
      <c r="A37" s="2" t="s">
        <v>200</v>
      </c>
      <c r="B37" s="8">
        <v>0.7840277777777778</v>
      </c>
      <c r="C37" s="8">
        <v>0.8409722222222222</v>
      </c>
      <c r="D37" s="8">
        <v>0.8416666666666667</v>
      </c>
      <c r="E37" s="2" t="s">
        <v>130</v>
      </c>
      <c r="F37" s="8">
        <v>0.8520833333333333</v>
      </c>
      <c r="G37" s="8">
        <v>0.8590277777777777</v>
      </c>
      <c r="H37" s="8">
        <v>0.8611111111111112</v>
      </c>
      <c r="I37" s="8">
        <v>0.8736111111111111</v>
      </c>
      <c r="J37" s="2" t="s">
        <v>130</v>
      </c>
    </row>
    <row r="38">
      <c r="A38" s="2" t="s">
        <v>201</v>
      </c>
      <c r="B38" s="8">
        <v>0.7861111111111111</v>
      </c>
      <c r="C38" s="8">
        <v>0.8451388888888889</v>
      </c>
      <c r="D38" s="8">
        <v>0.8458333333333333</v>
      </c>
      <c r="E38" s="2" t="s">
        <v>165</v>
      </c>
      <c r="F38" s="9"/>
      <c r="G38" s="8">
        <v>0.8527777777777777</v>
      </c>
      <c r="H38" s="8">
        <v>0.8548611111111111</v>
      </c>
      <c r="I38" s="8">
        <v>0.8666666666666667</v>
      </c>
      <c r="J38" s="2" t="s">
        <v>130</v>
      </c>
    </row>
    <row r="39">
      <c r="A39" s="2" t="s">
        <v>202</v>
      </c>
      <c r="B39" s="8">
        <v>0.7888888888888889</v>
      </c>
      <c r="C39" s="8">
        <v>0.85</v>
      </c>
      <c r="D39" s="8">
        <v>0.8506944444444444</v>
      </c>
      <c r="E39" s="2" t="s">
        <v>165</v>
      </c>
      <c r="F39" s="9"/>
      <c r="G39" s="8">
        <v>0.8576388888888888</v>
      </c>
      <c r="H39" s="8">
        <v>0.8597222222222223</v>
      </c>
      <c r="I39" s="8">
        <v>0.8715277777777778</v>
      </c>
      <c r="J39" s="2" t="s">
        <v>130</v>
      </c>
    </row>
    <row r="40">
      <c r="A40" s="2" t="s">
        <v>203</v>
      </c>
      <c r="B40" s="8">
        <v>0.7916666666666666</v>
      </c>
      <c r="C40" s="8">
        <v>0.8548611111111111</v>
      </c>
      <c r="D40" s="8">
        <v>0.8555555555555555</v>
      </c>
      <c r="E40" s="2" t="s">
        <v>130</v>
      </c>
      <c r="F40" s="8">
        <v>0.8666666666666667</v>
      </c>
      <c r="G40" s="8">
        <v>0.8736111111111111</v>
      </c>
      <c r="H40" s="8">
        <v>0.8756944444444444</v>
      </c>
      <c r="I40" s="8">
        <v>0.8881944444444444</v>
      </c>
      <c r="J40" s="2" t="s">
        <v>130</v>
      </c>
    </row>
    <row r="41">
      <c r="A41" s="2" t="s">
        <v>204</v>
      </c>
      <c r="B41" s="8">
        <v>0.79375</v>
      </c>
      <c r="C41" s="8">
        <v>0.8590277777777777</v>
      </c>
      <c r="D41" s="8">
        <v>0.8597222222222223</v>
      </c>
      <c r="E41" s="2" t="s">
        <v>165</v>
      </c>
      <c r="F41" s="9"/>
      <c r="G41" s="8">
        <v>0.8673611111111111</v>
      </c>
      <c r="H41" s="8">
        <v>0.8694444444444445</v>
      </c>
      <c r="I41" s="8">
        <v>0.88125</v>
      </c>
      <c r="J41" s="2" t="s">
        <v>130</v>
      </c>
    </row>
    <row r="42">
      <c r="A42" s="2" t="s">
        <v>205</v>
      </c>
      <c r="B42" s="8">
        <v>0.7965277777777777</v>
      </c>
      <c r="C42" s="8">
        <v>0.8638888888888889</v>
      </c>
      <c r="D42" s="8">
        <v>0.8645833333333334</v>
      </c>
      <c r="E42" s="2" t="s">
        <v>165</v>
      </c>
      <c r="F42" s="9"/>
      <c r="G42" s="8">
        <v>0.8722222222222222</v>
      </c>
      <c r="H42" s="8">
        <v>0.8743055555555556</v>
      </c>
      <c r="I42" s="8">
        <v>0.8861111111111111</v>
      </c>
      <c r="J42" s="2" t="s">
        <v>130</v>
      </c>
    </row>
    <row r="43">
      <c r="A43" s="2" t="s">
        <v>206</v>
      </c>
      <c r="B43" s="8">
        <v>0.7986111111111112</v>
      </c>
      <c r="C43" s="8">
        <v>0.8680555555555556</v>
      </c>
      <c r="D43" s="8">
        <v>0.86875</v>
      </c>
      <c r="E43" s="2" t="s">
        <v>130</v>
      </c>
      <c r="F43" s="8">
        <v>0.8805555555555555</v>
      </c>
      <c r="G43" s="8">
        <v>0.8875</v>
      </c>
      <c r="H43" s="8">
        <v>0.8895833333333333</v>
      </c>
      <c r="I43" s="8">
        <v>0.9020833333333333</v>
      </c>
      <c r="J43" s="2" t="s">
        <v>130</v>
      </c>
    </row>
    <row r="44">
      <c r="A44" s="2" t="s">
        <v>207</v>
      </c>
      <c r="B44" s="8">
        <v>0.8013888888888889</v>
      </c>
      <c r="C44" s="8">
        <v>0.8729166666666667</v>
      </c>
      <c r="D44" s="8">
        <v>0.8736111111111111</v>
      </c>
      <c r="E44" s="2" t="s">
        <v>165</v>
      </c>
      <c r="F44" s="9"/>
      <c r="G44" s="8">
        <v>0.88125</v>
      </c>
      <c r="H44" s="8">
        <v>0.8833333333333333</v>
      </c>
      <c r="I44" s="8">
        <v>0.8951388888888889</v>
      </c>
      <c r="J44" s="2" t="s">
        <v>130</v>
      </c>
    </row>
    <row r="45">
      <c r="A45" s="2" t="s">
        <v>208</v>
      </c>
      <c r="B45" s="8">
        <v>0.8034722222222223</v>
      </c>
      <c r="C45" s="8">
        <v>0.8770833333333333</v>
      </c>
      <c r="D45" s="8">
        <v>0.8777777777777778</v>
      </c>
      <c r="E45" s="2" t="s">
        <v>165</v>
      </c>
      <c r="F45" s="9"/>
      <c r="G45" s="8">
        <v>0.8854166666666666</v>
      </c>
      <c r="H45" s="8">
        <v>0.8875</v>
      </c>
      <c r="I45" s="8">
        <v>0.8993055555555556</v>
      </c>
      <c r="J45" s="2" t="s">
        <v>130</v>
      </c>
    </row>
    <row r="46">
      <c r="A46" s="2" t="s">
        <v>209</v>
      </c>
      <c r="B46" s="8">
        <v>0.80625</v>
      </c>
      <c r="C46" s="8">
        <v>0.8819444444444444</v>
      </c>
      <c r="D46" s="8">
        <v>0.8826388888888889</v>
      </c>
      <c r="E46" s="2" t="s">
        <v>130</v>
      </c>
      <c r="F46" s="8">
        <v>0.8951388888888889</v>
      </c>
      <c r="G46" s="8">
        <v>0.9020833333333333</v>
      </c>
      <c r="H46" s="8">
        <v>0.9041666666666667</v>
      </c>
      <c r="I46" s="8">
        <v>0.9166666666666666</v>
      </c>
      <c r="J46" s="2" t="s">
        <v>130</v>
      </c>
    </row>
    <row r="47">
      <c r="A47" s="2" t="s">
        <v>210</v>
      </c>
      <c r="B47" s="8">
        <v>0.8083333333333333</v>
      </c>
      <c r="C47" s="8">
        <v>0.8861111111111111</v>
      </c>
      <c r="D47" s="8">
        <v>0.8868055555555555</v>
      </c>
      <c r="E47" s="2" t="s">
        <v>165</v>
      </c>
      <c r="F47" s="9"/>
      <c r="G47" s="8">
        <v>0.8944444444444445</v>
      </c>
      <c r="H47" s="8">
        <v>0.8965277777777778</v>
      </c>
      <c r="I47" s="8">
        <v>0.9083333333333333</v>
      </c>
      <c r="J47" s="2" t="s">
        <v>130</v>
      </c>
    </row>
    <row r="48">
      <c r="A48" s="2" t="s">
        <v>211</v>
      </c>
      <c r="B48" s="8">
        <v>0.8111111111111111</v>
      </c>
      <c r="C48" s="8">
        <v>0.8909722222222223</v>
      </c>
      <c r="D48" s="8">
        <v>0.8916666666666667</v>
      </c>
      <c r="E48" s="2" t="s">
        <v>165</v>
      </c>
      <c r="F48" s="9"/>
      <c r="G48" s="8">
        <v>0.8993055555555556</v>
      </c>
      <c r="H48" s="8">
        <v>0.9013888888888889</v>
      </c>
      <c r="I48" s="8">
        <v>0.9131944444444444</v>
      </c>
      <c r="J48" s="2" t="s">
        <v>130</v>
      </c>
    </row>
    <row r="49">
      <c r="A49" s="2" t="s">
        <v>212</v>
      </c>
      <c r="B49" s="8">
        <v>0.8131944444444444</v>
      </c>
      <c r="C49" s="8">
        <v>0.8951388888888889</v>
      </c>
      <c r="D49" s="8">
        <v>0.8958333333333334</v>
      </c>
      <c r="E49" s="2" t="s">
        <v>130</v>
      </c>
      <c r="F49" s="8">
        <v>0.9090277777777778</v>
      </c>
      <c r="G49" s="8">
        <v>0.9159722222222222</v>
      </c>
      <c r="H49" s="8">
        <v>0.9180555555555555</v>
      </c>
      <c r="I49" s="8">
        <v>0.9305555555555556</v>
      </c>
      <c r="J49" s="2" t="s">
        <v>130</v>
      </c>
    </row>
    <row r="50">
      <c r="A50" s="2" t="s">
        <v>213</v>
      </c>
      <c r="B50" s="8">
        <v>0.8159722222222222</v>
      </c>
      <c r="C50" s="8">
        <v>0.9</v>
      </c>
      <c r="D50" s="8">
        <v>0.9006944444444445</v>
      </c>
      <c r="E50" s="2" t="s">
        <v>165</v>
      </c>
      <c r="F50" s="9"/>
      <c r="G50" s="8">
        <v>0.9083333333333333</v>
      </c>
      <c r="H50" s="8">
        <v>0.9104166666666667</v>
      </c>
      <c r="I50" s="8">
        <v>0.9222222222222223</v>
      </c>
      <c r="J50" s="2" t="s">
        <v>130</v>
      </c>
    </row>
    <row r="51">
      <c r="A51" s="2" t="s">
        <v>214</v>
      </c>
      <c r="B51" s="8">
        <v>0.81875</v>
      </c>
      <c r="C51" s="8">
        <v>0.9041666666666667</v>
      </c>
      <c r="D51" s="8">
        <v>0.9048611111111111</v>
      </c>
      <c r="E51" s="2" t="s">
        <v>165</v>
      </c>
      <c r="F51" s="9"/>
      <c r="G51" s="8">
        <v>0.9125</v>
      </c>
      <c r="H51" s="8">
        <v>0.9145833333333333</v>
      </c>
      <c r="I51" s="8">
        <v>0.9263888888888889</v>
      </c>
      <c r="J51" s="2" t="s">
        <v>130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215</v>
      </c>
      <c r="B1" s="1" t="s">
        <v>1</v>
      </c>
    </row>
    <row r="2">
      <c r="A2" s="2" t="s">
        <v>216</v>
      </c>
      <c r="B2" s="8">
        <v>0.8333333333333334</v>
      </c>
    </row>
    <row r="3">
      <c r="A3" s="2" t="s">
        <v>217</v>
      </c>
      <c r="B3" s="2" t="s">
        <v>130</v>
      </c>
    </row>
    <row r="4">
      <c r="A4" s="2" t="s">
        <v>218</v>
      </c>
      <c r="B4" s="2">
        <v>180.0</v>
      </c>
    </row>
    <row r="5">
      <c r="A5" s="2" t="s">
        <v>219</v>
      </c>
      <c r="B5" s="2">
        <v>95.0</v>
      </c>
    </row>
    <row r="6">
      <c r="A6" s="2" t="s">
        <v>220</v>
      </c>
      <c r="B6" s="2" t="s">
        <v>221</v>
      </c>
    </row>
    <row r="7">
      <c r="A7" s="2" t="s">
        <v>222</v>
      </c>
      <c r="B7" s="2" t="s">
        <v>223</v>
      </c>
    </row>
    <row r="9">
      <c r="A9" s="10" t="s">
        <v>224</v>
      </c>
      <c r="B9" s="11"/>
    </row>
    <row r="11">
      <c r="A11" s="1" t="s">
        <v>225</v>
      </c>
      <c r="B11" s="1" t="s">
        <v>226</v>
      </c>
    </row>
    <row r="12">
      <c r="A12" s="2" t="s">
        <v>227</v>
      </c>
      <c r="B12" s="2" t="s">
        <v>228</v>
      </c>
    </row>
    <row r="13">
      <c r="A13" s="2" t="s">
        <v>229</v>
      </c>
      <c r="B13" s="2" t="s">
        <v>230</v>
      </c>
    </row>
    <row r="14">
      <c r="A14" s="2" t="s">
        <v>231</v>
      </c>
      <c r="B14" s="2" t="s">
        <v>232</v>
      </c>
    </row>
    <row r="15">
      <c r="A15" s="2" t="s">
        <v>233</v>
      </c>
      <c r="B15" s="2" t="s">
        <v>234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235</v>
      </c>
      <c r="B1" s="1" t="s">
        <v>236</v>
      </c>
      <c r="C1" s="1" t="s">
        <v>237</v>
      </c>
      <c r="D1" s="1" t="s">
        <v>238</v>
      </c>
    </row>
    <row r="2">
      <c r="A2" s="2" t="s">
        <v>239</v>
      </c>
      <c r="B2" s="12">
        <v>0.45</v>
      </c>
      <c r="C2" s="2">
        <v>410.0</v>
      </c>
      <c r="D2" s="2">
        <v>88.0</v>
      </c>
    </row>
    <row r="3">
      <c r="A3" s="2" t="s">
        <v>240</v>
      </c>
      <c r="B3" s="12">
        <v>0.3</v>
      </c>
      <c r="C3" s="2">
        <v>455.0</v>
      </c>
      <c r="D3" s="2">
        <v>102.0</v>
      </c>
    </row>
    <row r="4">
      <c r="A4" s="2" t="s">
        <v>241</v>
      </c>
      <c r="B4" s="12">
        <v>0.15</v>
      </c>
      <c r="C4" s="2">
        <v>520.0</v>
      </c>
      <c r="D4" s="2">
        <v>122.0</v>
      </c>
    </row>
    <row r="5">
      <c r="A5" s="2" t="s">
        <v>242</v>
      </c>
      <c r="B5" s="12">
        <v>0.1</v>
      </c>
      <c r="C5" s="2">
        <v>390.0</v>
      </c>
      <c r="D5" s="2">
        <v>74.0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243</v>
      </c>
      <c r="B1" s="1" t="s">
        <v>244</v>
      </c>
      <c r="C1" s="1" t="s">
        <v>245</v>
      </c>
      <c r="D1" s="1" t="s">
        <v>246</v>
      </c>
    </row>
    <row r="2">
      <c r="A2" s="2" t="s">
        <v>247</v>
      </c>
      <c r="B2" s="2">
        <v>150000.0</v>
      </c>
      <c r="C2" s="2">
        <v>120000.0</v>
      </c>
      <c r="D2" s="9" t="str">
        <f>+200 shipments/hour acceptance capacity</f>
        <v>#ERROR!</v>
      </c>
    </row>
    <row r="3">
      <c r="A3" s="2" t="s">
        <v>248</v>
      </c>
      <c r="B3" s="2">
        <v>450000.0</v>
      </c>
      <c r="C3" s="2">
        <v>240000.0</v>
      </c>
      <c r="D3" s="9" t="str">
        <f>+180 shipments/hour nominal screening capacity</f>
        <v>#ERROR!</v>
      </c>
    </row>
    <row r="4">
      <c r="A4" s="2" t="s">
        <v>249</v>
      </c>
      <c r="B4" s="2">
        <v>50000.0</v>
      </c>
      <c r="C4" s="2">
        <v>90000.0</v>
      </c>
      <c r="D4" s="2" t="s">
        <v>250</v>
      </c>
    </row>
    <row r="5">
      <c r="A5" s="2" t="s">
        <v>251</v>
      </c>
      <c r="B5" s="2">
        <v>25000.0</v>
      </c>
      <c r="C5" s="2">
        <v>40000.0</v>
      </c>
      <c r="D5" s="2" t="s">
        <v>252</v>
      </c>
    </row>
    <row r="6">
      <c r="A6" s="2" t="s">
        <v>253</v>
      </c>
      <c r="B6" s="2">
        <v>0.0</v>
      </c>
      <c r="C6" s="2">
        <v>0.0</v>
      </c>
      <c r="D6" s="2" t="s">
        <v>254</v>
      </c>
    </row>
    <row r="8">
      <c r="A8" s="1" t="s">
        <v>19</v>
      </c>
      <c r="B8" s="1" t="s">
        <v>20</v>
      </c>
    </row>
    <row r="9">
      <c r="A9" s="2" t="s">
        <v>255</v>
      </c>
      <c r="B9" s="2" t="s">
        <v>256</v>
      </c>
    </row>
    <row r="10">
      <c r="A10" s="2" t="s">
        <v>257</v>
      </c>
      <c r="B10" s="2" t="s">
        <v>258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</row>
    <row r="2">
      <c r="A2" s="2" t="s">
        <v>265</v>
      </c>
      <c r="B2" s="2">
        <v>79200.0</v>
      </c>
      <c r="C2" s="2">
        <v>843000.0</v>
      </c>
      <c r="D2" s="12">
        <v>0.61</v>
      </c>
      <c r="E2" s="12">
        <v>0.64</v>
      </c>
      <c r="F2" s="12">
        <v>0.59</v>
      </c>
    </row>
    <row r="3">
      <c r="A3" s="2" t="s">
        <v>266</v>
      </c>
      <c r="B3" s="2">
        <v>80150.0</v>
      </c>
      <c r="C3" s="2">
        <v>851500.0</v>
      </c>
      <c r="D3" s="12">
        <v>0.62</v>
      </c>
      <c r="E3" s="12">
        <v>0.65</v>
      </c>
      <c r="F3" s="12">
        <v>0.58</v>
      </c>
    </row>
    <row r="4">
      <c r="A4" s="2" t="s">
        <v>267</v>
      </c>
      <c r="B4" s="2">
        <v>78600.0</v>
      </c>
      <c r="C4" s="2">
        <v>835800.0</v>
      </c>
      <c r="D4" s="12">
        <v>0.6</v>
      </c>
      <c r="E4" s="12">
        <v>0.63</v>
      </c>
      <c r="F4" s="12">
        <v>0.57</v>
      </c>
    </row>
    <row r="5">
      <c r="A5" s="2" t="s">
        <v>268</v>
      </c>
      <c r="B5" s="2">
        <v>80900.0</v>
      </c>
      <c r="C5" s="2">
        <v>860400.0</v>
      </c>
      <c r="D5" s="12">
        <v>0.63</v>
      </c>
      <c r="E5" s="12">
        <v>0.66</v>
      </c>
      <c r="F5" s="12">
        <v>0.6</v>
      </c>
    </row>
  </sheetData>
  <drawing r:id="rId1"/>
</worksheet>
</file>